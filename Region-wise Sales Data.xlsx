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hidePivotFieldList="1" defaultThemeVersion="166925"/>
  <xr:revisionPtr revIDLastSave="0" documentId="13_ncr:1_{1B9B289F-130E-4F07-8708-8489D86A9E29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GaugeChart" sheetId="15" r:id="rId1"/>
    <sheet name="Dashboard" sheetId="14" r:id="rId2"/>
    <sheet name="PivotDashboard" sheetId="12" r:id="rId3"/>
    <sheet name="Dashboard_raw" sheetId="11" r:id="rId4"/>
    <sheet name="West" sheetId="4" r:id="rId5"/>
    <sheet name="East" sheetId="9" r:id="rId6"/>
    <sheet name="South" sheetId="5" r:id="rId7"/>
    <sheet name="North" sheetId="6" r:id="rId8"/>
  </sheets>
  <definedNames>
    <definedName name="_xlcn.WorksheetConnection_RegionwiseSalesData.xlsxDataInTable1" hidden="1">DataInTable[]</definedName>
    <definedName name="DataNR" localSheetId="5">#REF!</definedName>
    <definedName name="DataNR">#REF!</definedName>
    <definedName name="ExternalData_1" localSheetId="3" hidden="1">Dashboard_raw!$A$1:$F$77</definedName>
  </definedNames>
  <calcPr calcId="19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InTable" name="DataInTable" connection="WorksheetConnection_Region-wise Sales Data.xlsx!DataInTabl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5" l="1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D10" i="15"/>
  <c r="C10" i="15"/>
  <c r="B10" i="15"/>
  <c r="A10" i="15"/>
  <c r="K16" i="4"/>
  <c r="J16" i="4"/>
  <c r="I16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0F766E-CBC7-419E-A522-1D2800D2D912}" keepAlive="1" name="Query - DataInTable" description="Connection to the 'DataInTable' query in the workbook." type="5" refreshedVersion="8" background="1" saveData="1">
    <dbPr connection="Provider=Microsoft.Mashup.OleDb.1;Data Source=$Workbook$;Location=DataInTable;Extended Properties=&quot;&quot;" command="SELECT * FROM [DataInTable]"/>
  </connection>
  <connection id="2" xr16:uid="{38B00BDC-CF90-4BB4-BD83-3C7A57550C7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DDFDF815-8827-4887-9ABB-A9E98052B56F}" name="WorksheetConnection_Region-wise Sales Data.xlsx!DataInTable" type="102" refreshedVersion="8" minRefreshableVersion="5">
    <extLst>
      <ext xmlns:x15="http://schemas.microsoft.com/office/spreadsheetml/2010/11/main" uri="{DE250136-89BD-433C-8126-D09CA5730AF9}">
        <x15:connection id="DataInTable">
          <x15:rangePr sourceName="_xlcn.WorksheetConnection_RegionwiseSalesData.xlsxDataInTable1"/>
        </x15:connection>
      </ext>
    </extLst>
  </connection>
</connections>
</file>

<file path=xl/sharedStrings.xml><?xml version="1.0" encoding="utf-8"?>
<sst xmlns="http://schemas.openxmlformats.org/spreadsheetml/2006/main" count="2883" uniqueCount="39">
  <si>
    <t>Date</t>
  </si>
  <si>
    <t>Item</t>
  </si>
  <si>
    <t>Quantity</t>
  </si>
  <si>
    <t>Price</t>
  </si>
  <si>
    <t>Sales Rep</t>
  </si>
  <si>
    <t>Commission</t>
  </si>
  <si>
    <t>Office Chair</t>
  </si>
  <si>
    <t>Projector</t>
  </si>
  <si>
    <t>White Board</t>
  </si>
  <si>
    <t>Diary</t>
  </si>
  <si>
    <t>Printer</t>
  </si>
  <si>
    <t>John</t>
  </si>
  <si>
    <t>Mark</t>
  </si>
  <si>
    <t>Bob</t>
  </si>
  <si>
    <t>Stacey</t>
  </si>
  <si>
    <t>Laura</t>
  </si>
  <si>
    <t>Office Supplies Sales Data - Jul 2018</t>
  </si>
  <si>
    <t>Row Labels</t>
  </si>
  <si>
    <t>Grand Total</t>
  </si>
  <si>
    <t>Column Labels</t>
  </si>
  <si>
    <t>Total Sales</t>
  </si>
  <si>
    <t>Sum of Total Sales</t>
  </si>
  <si>
    <t>Value</t>
  </si>
  <si>
    <t>Range</t>
  </si>
  <si>
    <t>Min Value</t>
  </si>
  <si>
    <t>Poor</t>
  </si>
  <si>
    <t>Average</t>
  </si>
  <si>
    <t>Good</t>
  </si>
  <si>
    <t>Max Value</t>
  </si>
  <si>
    <t>Leftover</t>
  </si>
  <si>
    <t>Ketebalan Jarum</t>
  </si>
  <si>
    <t>Arah Jarum</t>
  </si>
  <si>
    <t>W1</t>
  </si>
  <si>
    <t>W2</t>
  </si>
  <si>
    <t>W3</t>
  </si>
  <si>
    <t>W4</t>
  </si>
  <si>
    <t>Min</t>
  </si>
  <si>
    <t>Max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</si>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</sst>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 val="singleAccounting"/>
      <sz val="11"/>
      <color theme="5" tint="-0.249977111117893"/>
      <name val="Calibri"/>
      <family val="2"/>
      <scheme val="minor"/>
    </font>
    <font>
      <u val="singleAccounting"/>
      <sz val="11"/>
      <color theme="8" tint="-0.249977111117893"/>
      <name val="Calibri"/>
      <family val="2"/>
      <scheme val="minor"/>
    </font>
    <font>
      <u val="singleAccounting"/>
      <sz val="11"/>
      <color theme="9" tint="-0.249977111117893"/>
      <name val="Calibri"/>
      <family val="2"/>
      <scheme val="minor"/>
    </font>
    <font>
      <u val="singleAccounting"/>
      <sz val="11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7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/>
    </xf>
    <xf numFmtId="44" fontId="0" fillId="0" borderId="0" xfId="0" applyNumberFormat="1"/>
    <xf numFmtId="10" fontId="0" fillId="0" borderId="0" xfId="0" applyNumberFormat="1"/>
    <xf numFmtId="0" fontId="1" fillId="0" borderId="1" xfId="0" applyFont="1" applyBorder="1"/>
    <xf numFmtId="0" fontId="3" fillId="0" borderId="1" xfId="0" applyFont="1" applyBorder="1"/>
    <xf numFmtId="0" fontId="4" fillId="4" borderId="1" xfId="0" applyFont="1" applyFill="1" applyBorder="1"/>
    <xf numFmtId="0" fontId="4" fillId="3" borderId="1" xfId="0" applyFont="1" applyFill="1" applyBorder="1"/>
    <xf numFmtId="0" fontId="4" fillId="2" borderId="1" xfId="0" applyFont="1" applyFill="1" applyBorder="1"/>
    <xf numFmtId="164" fontId="0" fillId="0" borderId="0" xfId="1" applyNumberFormat="1" applyFont="1"/>
    <xf numFmtId="164" fontId="0" fillId="0" borderId="0" xfId="0" applyNumberFormat="1"/>
    <xf numFmtId="164" fontId="6" fillId="0" borderId="1" xfId="1" applyNumberFormat="1" applyFont="1" applyBorder="1" applyAlignment="1">
      <alignment vertical="center"/>
    </xf>
    <xf numFmtId="164" fontId="5" fillId="0" borderId="1" xfId="1" applyNumberFormat="1" applyFont="1" applyBorder="1" applyAlignment="1">
      <alignment vertical="center"/>
    </xf>
    <xf numFmtId="164" fontId="7" fillId="0" borderId="1" xfId="1" applyNumberFormat="1" applyFont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1" fontId="0" fillId="0" borderId="1" xfId="2" applyNumberFormat="1" applyFont="1" applyBorder="1"/>
    <xf numFmtId="1" fontId="0" fillId="0" borderId="1" xfId="0" applyNumberFormat="1" applyBorder="1"/>
    <xf numFmtId="1" fontId="0" fillId="0" borderId="0" xfId="0" applyNumberFormat="1"/>
    <xf numFmtId="164" fontId="8" fillId="0" borderId="1" xfId="1" applyNumberFormat="1" applyFont="1" applyBorder="1" applyAlignment="1">
      <alignment vertical="center"/>
    </xf>
    <xf numFmtId="0" fontId="1" fillId="5" borderId="1" xfId="0" applyFont="1" applyFill="1" applyBorder="1"/>
    <xf numFmtId="0" fontId="1" fillId="0" borderId="0" xfId="0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18">
    <dxf>
      <numFmt numFmtId="13" formatCode="0%"/>
    </dxf>
    <dxf>
      <numFmt numFmtId="165" formatCode="dd/mm/yyyy"/>
    </dxf>
    <dxf>
      <numFmt numFmtId="13" formatCode="0%"/>
    </dxf>
    <dxf>
      <numFmt numFmtId="165" formatCode="dd/mm/yyyy"/>
    </dxf>
    <dxf>
      <numFmt numFmtId="13" formatCode="0%"/>
    </dxf>
    <dxf>
      <numFmt numFmtId="165" formatCode="dd/mm/yyyy"/>
    </dxf>
    <dxf>
      <numFmt numFmtId="164" formatCode="_(&quot;$&quot;* #,##0_);_(&quot;$&quot;* \(#,##0\);_(&quot;$&quot;* &quot;-&quot;??_);_(@_)"/>
    </dxf>
    <dxf>
      <numFmt numFmtId="13" formatCode="0%"/>
    </dxf>
    <dxf>
      <numFmt numFmtId="165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10" Type="http://schemas.openxmlformats.org/officeDocument/2006/relationships/pivotCacheDefinition" Target="pivotCache/pivotCacheDefinition2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Gauge Chart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GaugeChart!$B$1</c:f>
              <c:strCache>
                <c:ptCount val="1"/>
                <c:pt idx="0">
                  <c:v>Range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08B-4444-8BB9-13C51EB64E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08B-4444-8BB9-13C51EB64E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08B-4444-8BB9-13C51EB64E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08B-4444-8BB9-13C51EB64EF3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709-4B7A-8040-2A490D20E486}"/>
              </c:ext>
            </c:extLst>
          </c:dPt>
          <c:cat>
            <c:strRef>
              <c:f>GaugeChart!$A$2:$A$6</c:f>
              <c:strCache>
                <c:ptCount val="5"/>
                <c:pt idx="0">
                  <c:v>Min Value</c:v>
                </c:pt>
                <c:pt idx="1">
                  <c:v>Poor</c:v>
                </c:pt>
                <c:pt idx="2">
                  <c:v>Average</c:v>
                </c:pt>
                <c:pt idx="3">
                  <c:v>Good</c:v>
                </c:pt>
                <c:pt idx="4">
                  <c:v>Max Value</c:v>
                </c:pt>
              </c:strCache>
            </c:strRef>
          </c:cat>
          <c:val>
            <c:numRef>
              <c:f>GaugeChart!$B$2:$B$6</c:f>
              <c:numCache>
                <c:formatCode>0</c:formatCode>
                <c:ptCount val="5"/>
                <c:pt idx="0">
                  <c:v>0</c:v>
                </c:pt>
                <c:pt idx="1">
                  <c:v>69</c:v>
                </c:pt>
                <c:pt idx="2">
                  <c:v>98</c:v>
                </c:pt>
                <c:pt idx="3">
                  <c:v>137</c:v>
                </c:pt>
                <c:pt idx="4">
                  <c:v>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09-4B7A-8040-2A490D20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5"/>
      </c:doughnutChart>
      <c:pieChart>
        <c:varyColors val="1"/>
        <c:ser>
          <c:idx val="1"/>
          <c:order val="1"/>
          <c:tx>
            <c:v>jarum</c:v>
          </c:tx>
          <c:spPr>
            <a:noFill/>
          </c:spPr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08B-4444-8BB9-13C51EB64EF3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709-4B7A-8040-2A490D20E486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08B-4444-8BB9-13C51EB64EF3}"/>
              </c:ext>
            </c:extLst>
          </c:dPt>
          <c:val>
            <c:numRef>
              <c:f>GaugeChart!$E$1:$E$3</c:f>
              <c:numCache>
                <c:formatCode>0</c:formatCode>
                <c:ptCount val="3"/>
                <c:pt idx="0">
                  <c:v>94</c:v>
                </c:pt>
                <c:pt idx="1">
                  <c:v>10</c:v>
                </c:pt>
                <c:pt idx="2">
                  <c:v>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09-4B7A-8040-2A490D20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[Region-wise Sales Data.xlsx]PivotDashboard!PivotTable2</c:name>
    <c:fmtId val="4"/>
  </c:pivotSource>
  <c:chart>
    <c:autoTitleDeleted val="1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36"/>
        <c:spPr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7.8092244105549075E-2"/>
              <c:y val="-8.8718625795674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3.4529126685334414E-2"/>
          <c:y val="5.215510999805812E-2"/>
          <c:w val="0.83660912467011461"/>
          <c:h val="0.85077999289199446"/>
        </c:manualLayout>
      </c:layout>
      <c:lineChart>
        <c:grouping val="standard"/>
        <c:varyColors val="0"/>
        <c:ser>
          <c:idx val="0"/>
          <c:order val="0"/>
          <c:tx>
            <c:strRef>
              <c:f>PivotDashboard!$B$3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0-6F40-44C1-A1E7-D239FFD73133}"/>
              </c:ext>
            </c:extLst>
          </c:dPt>
          <c:dLbls>
            <c:dLbl>
              <c:idx val="1"/>
              <c:layout>
                <c:manualLayout>
                  <c:x val="-7.8092244105549075E-2"/>
                  <c:y val="-8.87186257956746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F40-44C1-A1E7-D239FFD731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PivotDashboard!$A$4:$A$11</c:f>
              <c:strCache>
                <c:ptCount val="7"/>
                <c:pt idx="0">
                  <c:v>7/1/2018</c:v>
                </c:pt>
                <c:pt idx="1">
                  <c:v>7/2/2018</c:v>
                </c:pt>
                <c:pt idx="2">
                  <c:v>7/3/2018</c:v>
                </c:pt>
                <c:pt idx="3">
                  <c:v>7/4/2018</c:v>
                </c:pt>
                <c:pt idx="4">
                  <c:v>7/5/2018</c:v>
                </c:pt>
                <c:pt idx="5">
                  <c:v>7/6/2018</c:v>
                </c:pt>
                <c:pt idx="6">
                  <c:v>7/7/2018</c:v>
                </c:pt>
              </c:strCache>
            </c:strRef>
          </c:cat>
          <c:val>
            <c:numRef>
              <c:f>PivotDashboard!$B$4:$B$11</c:f>
              <c:numCache>
                <c:formatCode>_("$"* #,##0.00_);_("$"* \(#,##0.00\);_("$"* "-"??_);_(@_)</c:formatCode>
                <c:ptCount val="7"/>
                <c:pt idx="0">
                  <c:v>18488</c:v>
                </c:pt>
                <c:pt idx="1">
                  <c:v>8242</c:v>
                </c:pt>
                <c:pt idx="2">
                  <c:v>9684</c:v>
                </c:pt>
                <c:pt idx="3">
                  <c:v>15670</c:v>
                </c:pt>
                <c:pt idx="4">
                  <c:v>15420</c:v>
                </c:pt>
                <c:pt idx="5">
                  <c:v>22428</c:v>
                </c:pt>
                <c:pt idx="6">
                  <c:v>10244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B6E-4F89-AB45-FBC422B750C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16029631"/>
        <c:axId val="2016042111"/>
      </c:lineChart>
      <c:catAx>
        <c:axId val="201602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016042111"/>
        <c:crosses val="autoZero"/>
        <c:auto val="1"/>
        <c:lblAlgn val="ctr"/>
        <c:lblOffset val="100"/>
        <c:noMultiLvlLbl val="0"/>
      </c:catAx>
      <c:valAx>
        <c:axId val="2016042111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2016029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[Region-wise Sales Data.xlsx]PivotDashboard!PivotTable1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Total Sales - SalesPerson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PivotDashboard!$B$13:$B$14</c:f>
              <c:strCache>
                <c:ptCount val="1"/>
                <c:pt idx="0">
                  <c:v>Bob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PivotDashboard!$A$15:$A$22</c:f>
              <c:strCache>
                <c:ptCount val="7"/>
                <c:pt idx="0">
                  <c:v>7/1/2018</c:v>
                </c:pt>
                <c:pt idx="1">
                  <c:v>7/2/2018</c:v>
                </c:pt>
                <c:pt idx="2">
                  <c:v>7/3/2018</c:v>
                </c:pt>
                <c:pt idx="3">
                  <c:v>7/4/2018</c:v>
                </c:pt>
                <c:pt idx="4">
                  <c:v>7/5/2018</c:v>
                </c:pt>
                <c:pt idx="5">
                  <c:v>7/6/2018</c:v>
                </c:pt>
                <c:pt idx="6">
                  <c:v>7/7/2018</c:v>
                </c:pt>
              </c:strCache>
            </c:strRef>
          </c:cat>
          <c:val>
            <c:numRef>
              <c:f>PivotDashboard!$B$15:$B$22</c:f>
              <c:numCache>
                <c:formatCode>_("$"* #,##0.00_);_("$"* \(#,##0.00\);_("$"* "-"??_);_(@_)</c:formatCode>
                <c:ptCount val="7"/>
                <c:pt idx="0">
                  <c:v>272</c:v>
                </c:pt>
                <c:pt idx="1">
                  <c:v>1360</c:v>
                </c:pt>
                <c:pt idx="2">
                  <c:v>1920</c:v>
                </c:pt>
                <c:pt idx="3">
                  <c:v>7220</c:v>
                </c:pt>
                <c:pt idx="5">
                  <c:v>4282</c:v>
                </c:pt>
                <c:pt idx="6">
                  <c:v>1824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C4-434C-A3F0-94E20FE528E4}"/>
            </c:ext>
          </c:extLst>
        </c:ser>
        <c:ser>
          <c:idx val="1"/>
          <c:order val="1"/>
          <c:tx>
            <c:strRef>
              <c:f>PivotDashboard!$C$13:$C$14</c:f>
              <c:strCache>
                <c:ptCount val="1"/>
                <c:pt idx="0">
                  <c:v>John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PivotDashboard!$A$15:$A$22</c:f>
              <c:strCache>
                <c:ptCount val="7"/>
                <c:pt idx="0">
                  <c:v>7/1/2018</c:v>
                </c:pt>
                <c:pt idx="1">
                  <c:v>7/2/2018</c:v>
                </c:pt>
                <c:pt idx="2">
                  <c:v>7/3/2018</c:v>
                </c:pt>
                <c:pt idx="3">
                  <c:v>7/4/2018</c:v>
                </c:pt>
                <c:pt idx="4">
                  <c:v>7/5/2018</c:v>
                </c:pt>
                <c:pt idx="5">
                  <c:v>7/6/2018</c:v>
                </c:pt>
                <c:pt idx="6">
                  <c:v>7/7/2018</c:v>
                </c:pt>
              </c:strCache>
            </c:strRef>
          </c:cat>
          <c:val>
            <c:numRef>
              <c:f>PivotDashboard!$C$15:$C$22</c:f>
              <c:numCache>
                <c:formatCode>_("$"* #,##0.00_);_("$"* \(#,##0.00\);_("$"* "-"??_);_(@_)</c:formatCode>
                <c:ptCount val="7"/>
                <c:pt idx="0">
                  <c:v>2656</c:v>
                </c:pt>
                <c:pt idx="1">
                  <c:v>1600</c:v>
                </c:pt>
                <c:pt idx="4">
                  <c:v>5610</c:v>
                </c:pt>
                <c:pt idx="5">
                  <c:v>6636</c:v>
                </c:pt>
                <c:pt idx="6">
                  <c:v>1870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C4-434C-A3F0-94E20FE528E4}"/>
            </c:ext>
          </c:extLst>
        </c:ser>
        <c:ser>
          <c:idx val="2"/>
          <c:order val="2"/>
          <c:tx>
            <c:strRef>
              <c:f>PivotDashboard!$D$13:$D$14</c:f>
              <c:strCache>
                <c:ptCount val="1"/>
                <c:pt idx="0">
                  <c:v>Laura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PivotDashboard!$A$15:$A$22</c:f>
              <c:strCache>
                <c:ptCount val="7"/>
                <c:pt idx="0">
                  <c:v>7/1/2018</c:v>
                </c:pt>
                <c:pt idx="1">
                  <c:v>7/2/2018</c:v>
                </c:pt>
                <c:pt idx="2">
                  <c:v>7/3/2018</c:v>
                </c:pt>
                <c:pt idx="3">
                  <c:v>7/4/2018</c:v>
                </c:pt>
                <c:pt idx="4">
                  <c:v>7/5/2018</c:v>
                </c:pt>
                <c:pt idx="5">
                  <c:v>7/6/2018</c:v>
                </c:pt>
                <c:pt idx="6">
                  <c:v>7/7/2018</c:v>
                </c:pt>
              </c:strCache>
            </c:strRef>
          </c:cat>
          <c:val>
            <c:numRef>
              <c:f>PivotDashboard!$D$15:$D$22</c:f>
              <c:numCache>
                <c:formatCode>_("$"* #,##0.00_);_("$"* \(#,##0.00\);_("$"* "-"??_);_(@_)</c:formatCode>
                <c:ptCount val="7"/>
                <c:pt idx="0">
                  <c:v>2760</c:v>
                </c:pt>
                <c:pt idx="2">
                  <c:v>1168</c:v>
                </c:pt>
                <c:pt idx="4">
                  <c:v>3800</c:v>
                </c:pt>
                <c:pt idx="5">
                  <c:v>5160</c:v>
                </c:pt>
                <c:pt idx="6">
                  <c:v>3660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C4-434C-A3F0-94E20FE528E4}"/>
            </c:ext>
          </c:extLst>
        </c:ser>
        <c:ser>
          <c:idx val="3"/>
          <c:order val="3"/>
          <c:tx>
            <c:strRef>
              <c:f>PivotDashboard!$E$13:$E$14</c:f>
              <c:strCache>
                <c:ptCount val="1"/>
                <c:pt idx="0">
                  <c:v>Mark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PivotDashboard!$A$15:$A$22</c:f>
              <c:strCache>
                <c:ptCount val="7"/>
                <c:pt idx="0">
                  <c:v>7/1/2018</c:v>
                </c:pt>
                <c:pt idx="1">
                  <c:v>7/2/2018</c:v>
                </c:pt>
                <c:pt idx="2">
                  <c:v>7/3/2018</c:v>
                </c:pt>
                <c:pt idx="3">
                  <c:v>7/4/2018</c:v>
                </c:pt>
                <c:pt idx="4">
                  <c:v>7/5/2018</c:v>
                </c:pt>
                <c:pt idx="5">
                  <c:v>7/6/2018</c:v>
                </c:pt>
                <c:pt idx="6">
                  <c:v>7/7/2018</c:v>
                </c:pt>
              </c:strCache>
            </c:strRef>
          </c:cat>
          <c:val>
            <c:numRef>
              <c:f>PivotDashboard!$E$15:$E$22</c:f>
              <c:numCache>
                <c:formatCode>_("$"* #,##0.00_);_("$"* \(#,##0.00\);_("$"* "-"??_);_(@_)</c:formatCode>
                <c:ptCount val="7"/>
                <c:pt idx="0">
                  <c:v>7230</c:v>
                </c:pt>
                <c:pt idx="1">
                  <c:v>3450</c:v>
                </c:pt>
                <c:pt idx="2">
                  <c:v>112</c:v>
                </c:pt>
                <c:pt idx="3">
                  <c:v>3040</c:v>
                </c:pt>
                <c:pt idx="4">
                  <c:v>720</c:v>
                </c:pt>
                <c:pt idx="5">
                  <c:v>4830</c:v>
                </c:pt>
                <c:pt idx="6">
                  <c:v>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C4-434C-A3F0-94E20FE528E4}"/>
            </c:ext>
          </c:extLst>
        </c:ser>
        <c:ser>
          <c:idx val="4"/>
          <c:order val="4"/>
          <c:tx>
            <c:strRef>
              <c:f>PivotDashboard!$F$13:$F$14</c:f>
              <c:strCache>
                <c:ptCount val="1"/>
                <c:pt idx="0">
                  <c:v>Stacey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PivotDashboard!$A$15:$A$22</c:f>
              <c:strCache>
                <c:ptCount val="7"/>
                <c:pt idx="0">
                  <c:v>7/1/2018</c:v>
                </c:pt>
                <c:pt idx="1">
                  <c:v>7/2/2018</c:v>
                </c:pt>
                <c:pt idx="2">
                  <c:v>7/3/2018</c:v>
                </c:pt>
                <c:pt idx="3">
                  <c:v>7/4/2018</c:v>
                </c:pt>
                <c:pt idx="4">
                  <c:v>7/5/2018</c:v>
                </c:pt>
                <c:pt idx="5">
                  <c:v>7/6/2018</c:v>
                </c:pt>
                <c:pt idx="6">
                  <c:v>7/7/2018</c:v>
                </c:pt>
              </c:strCache>
            </c:strRef>
          </c:cat>
          <c:val>
            <c:numRef>
              <c:f>PivotDashboard!$F$15:$F$22</c:f>
              <c:numCache>
                <c:formatCode>_("$"* #,##0.00_);_("$"* \(#,##0.00\);_("$"* "-"??_);_(@_)</c:formatCode>
                <c:ptCount val="7"/>
                <c:pt idx="0">
                  <c:v>5570</c:v>
                </c:pt>
                <c:pt idx="1">
                  <c:v>1832</c:v>
                </c:pt>
                <c:pt idx="2">
                  <c:v>6484</c:v>
                </c:pt>
                <c:pt idx="3">
                  <c:v>5410</c:v>
                </c:pt>
                <c:pt idx="4">
                  <c:v>5290</c:v>
                </c:pt>
                <c:pt idx="5">
                  <c:v>1520</c:v>
                </c:pt>
                <c:pt idx="6">
                  <c:v>2130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C4-434C-A3F0-94E20FE52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6820336"/>
        <c:axId val="566820816"/>
      </c:barChart>
      <c:catAx>
        <c:axId val="566820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66820816"/>
        <c:crosses val="autoZero"/>
        <c:auto val="1"/>
        <c:lblAlgn val="ctr"/>
        <c:lblOffset val="100"/>
        <c:noMultiLvlLbl val="0"/>
      </c:catAx>
      <c:valAx>
        <c:axId val="56682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6682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 b="1"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[Region-wise Sales Data.xlsx]PivotDashboard!PivotTable3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PivotDashboard!$B$24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BEC-4F80-B79C-1252CD7A45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BEC-4F80-B79C-1252CD7A45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BEC-4F80-B79C-1252CD7A456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BEC-4F80-B79C-1252CD7A456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BEC-4F80-B79C-1252CD7A45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PivotDashboard!$A$25:$A$30</c:f>
              <c:strCache>
                <c:ptCount val="5"/>
                <c:pt idx="0">
                  <c:v>Diary</c:v>
                </c:pt>
                <c:pt idx="1">
                  <c:v>Office Chair</c:v>
                </c:pt>
                <c:pt idx="2">
                  <c:v>Printer</c:v>
                </c:pt>
                <c:pt idx="3">
                  <c:v>Projector</c:v>
                </c:pt>
                <c:pt idx="4">
                  <c:v>White Board</c:v>
                </c:pt>
              </c:strCache>
            </c:strRef>
          </c:cat>
          <c:val>
            <c:numRef>
              <c:f>PivotDashboard!$B$25:$B$30</c:f>
              <c:numCache>
                <c:formatCode>0.00%</c:formatCode>
                <c:ptCount val="5"/>
                <c:pt idx="0">
                  <c:v>3.1304903370068679E-2</c:v>
                </c:pt>
                <c:pt idx="1">
                  <c:v>0.40179284459351539</c:v>
                </c:pt>
                <c:pt idx="2">
                  <c:v>0.20364159080019167</c:v>
                </c:pt>
                <c:pt idx="3">
                  <c:v>0.24706516530905606</c:v>
                </c:pt>
                <c:pt idx="4">
                  <c:v>0.11619549592716819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BEC-4F80-B79C-1252CD7A456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 b="1"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GaugeChart!$B$1</c:f>
              <c:strCache>
                <c:ptCount val="1"/>
                <c:pt idx="0">
                  <c:v>Range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A7-496A-933A-5EB6F5448399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A7-496A-933A-5EB6F5448399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CA7-496A-933A-5EB6F5448399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CA7-496A-933A-5EB6F5448399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CA7-496A-933A-5EB6F544839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CA7-496A-933A-5EB6F544839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CA7-496A-933A-5EB6F544839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GaugeChart!$A$2:$A$6</c:f>
              <c:strCache>
                <c:ptCount val="5"/>
                <c:pt idx="0">
                  <c:v>Min Value</c:v>
                </c:pt>
                <c:pt idx="1">
                  <c:v>Poor</c:v>
                </c:pt>
                <c:pt idx="2">
                  <c:v>Average</c:v>
                </c:pt>
                <c:pt idx="3">
                  <c:v>Good</c:v>
                </c:pt>
                <c:pt idx="4">
                  <c:v>Max Value</c:v>
                </c:pt>
              </c:strCache>
            </c:strRef>
          </c:cat>
          <c:val>
            <c:numRef>
              <c:f>GaugeChart!$B$2:$B$6</c:f>
              <c:numCache>
                <c:formatCode>0</c:formatCode>
                <c:ptCount val="5"/>
                <c:pt idx="0">
                  <c:v>0</c:v>
                </c:pt>
                <c:pt idx="1">
                  <c:v>69</c:v>
                </c:pt>
                <c:pt idx="2">
                  <c:v>98</c:v>
                </c:pt>
                <c:pt idx="3">
                  <c:v>137</c:v>
                </c:pt>
                <c:pt idx="4">
                  <c:v>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CA7-496A-933A-5EB6F5448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70"/>
        <c:holeSize val="55"/>
      </c:doughnutChart>
      <c:pieChart>
        <c:varyColors val="1"/>
        <c:ser>
          <c:idx val="1"/>
          <c:order val="1"/>
          <c:tx>
            <c:v>ticker</c:v>
          </c:tx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>
                <a:glow rad="711200">
                  <a:srgbClr val="0070C0">
                    <a:alpha val="67000"/>
                  </a:srgbClr>
                </a:glow>
                <a:outerShdw blurRad="660400" dist="114300" algn="ctr" rotWithShape="0">
                  <a:srgbClr val="000000">
                    <a:alpha val="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6CA7-496A-933A-5EB6F5448399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6CA7-496A-933A-5EB6F5448399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>
                <a:outerShdw blurRad="50800" dist="50800" dir="5400000" algn="ctr" rotWithShape="0">
                  <a:srgbClr val="000000">
                    <a:alpha val="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6CA7-496A-933A-5EB6F5448399}"/>
              </c:ext>
            </c:extLst>
          </c:dPt>
          <c:val>
            <c:numRef>
              <c:f>GaugeChart!$E$1:$E$3</c:f>
              <c:numCache>
                <c:formatCode>0</c:formatCode>
                <c:ptCount val="3"/>
                <c:pt idx="0">
                  <c:v>94</c:v>
                </c:pt>
                <c:pt idx="1">
                  <c:v>10</c:v>
                </c:pt>
                <c:pt idx="2">
                  <c:v>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CA7-496A-933A-5EB6F5448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 b="1"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192157</xdr:colOff>
      <xdr:row>5</xdr:row>
      <xdr:rowOff>66261</xdr:rowOff>
    </xdr:from>
    <xdr:to>
      <xdr:col>12</xdr:col>
      <xdr:colOff>496957</xdr:colOff>
      <xdr:row>20</xdr:row>
      <xdr:rowOff>6626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F04AEF0-8A68-345B-7DC5-FB179227C2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252628</xdr:colOff>
      <xdr:row>1</xdr:row>
      <xdr:rowOff>54429</xdr:rowOff>
    </xdr:from>
    <xdr:to>
      <xdr:col>24</xdr:col>
      <xdr:colOff>263060</xdr:colOff>
      <xdr:row>57</xdr:row>
      <xdr:rowOff>76283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2B21832E-8420-E939-8586-4D8B0F757BF8}"/>
            </a:ext>
          </a:extLst>
        </xdr:cNvPr>
        <xdr:cNvSpPr/>
      </xdr:nvSpPr>
      <xdr:spPr>
        <a:xfrm>
          <a:off x="252628" y="233723"/>
          <a:ext cx="14640832" cy="10062325"/>
        </a:xfrm>
        <a:prstGeom prst="roundRect">
          <a:avLst>
            <a:gd name="adj" fmla="val 2980"/>
          </a:avLst>
        </a:prstGeom>
        <a:pattFill prst="lgGrid">
          <a:fgClr>
            <a:schemeClr val="bg1">
              <a:lumMod val="85000"/>
            </a:schemeClr>
          </a:fgClr>
          <a:bgClr>
            <a:schemeClr val="bg1">
              <a:lumMod val="95000"/>
            </a:schemeClr>
          </a:bgClr>
        </a:pattFill>
        <a:ln w="571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id-ID" sz="1100">
            <a:latin typeface="Adobe Fan Heiti Std B" panose="020B0700000000000000" pitchFamily="34" charset="-128"/>
            <a:ea typeface="Adobe Fan Heiti Std B" panose="020B0700000000000000" pitchFamily="34" charset="-128"/>
          </a:endParaRPr>
        </a:p>
      </xdr:txBody>
    </xdr:sp>
    <xdr:clientData/>
  </xdr:twoCellAnchor>
  <xdr:twoCellAnchor>
    <xdr:from>
      <xdr:col>0</xdr:col>
      <xdr:colOff>385948</xdr:colOff>
      <xdr:row>6</xdr:row>
      <xdr:rowOff>140329</xdr:rowOff>
    </xdr:from>
    <xdr:to>
      <xdr:col>11</xdr:col>
      <xdr:colOff>331694</xdr:colOff>
      <xdr:row>28</xdr:row>
      <xdr:rowOff>174172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9831FBF-3D2C-5ED6-03C6-08F24D919F5F}"/>
            </a:ext>
          </a:extLst>
        </xdr:cNvPr>
        <xdr:cNvSpPr/>
      </xdr:nvSpPr>
      <xdr:spPr>
        <a:xfrm>
          <a:off x="385948" y="1250672"/>
          <a:ext cx="6651346" cy="4105100"/>
        </a:xfrm>
        <a:prstGeom prst="roundRect">
          <a:avLst>
            <a:gd name="adj" fmla="val 7396"/>
          </a:avLst>
        </a:prstGeom>
        <a:solidFill>
          <a:schemeClr val="accent1">
            <a:lumMod val="40000"/>
            <a:lumOff val="60000"/>
          </a:schemeClr>
        </a:solidFill>
        <a:ln w="57150">
          <a:solidFill>
            <a:schemeClr val="bg2">
              <a:lumMod val="50000"/>
            </a:schemeClr>
          </a:solidFill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id-ID" sz="1800">
            <a:latin typeface="Adobe Fan Heiti Std B" panose="020B0700000000000000" pitchFamily="34" charset="-128"/>
            <a:ea typeface="Adobe Fan Heiti Std B" panose="020B0700000000000000" pitchFamily="34" charset="-128"/>
          </a:endParaRPr>
        </a:p>
      </xdr:txBody>
    </xdr:sp>
    <xdr:clientData/>
  </xdr:twoCellAnchor>
  <xdr:twoCellAnchor>
    <xdr:from>
      <xdr:col>9</xdr:col>
      <xdr:colOff>425</xdr:colOff>
      <xdr:row>2</xdr:row>
      <xdr:rowOff>30481</xdr:rowOff>
    </xdr:from>
    <xdr:to>
      <xdr:col>15</xdr:col>
      <xdr:colOff>181127</xdr:colOff>
      <xdr:row>5</xdr:row>
      <xdr:rowOff>10886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0563518F-A95B-0EE8-65F6-6CE73BEEDB28}"/>
            </a:ext>
          </a:extLst>
        </xdr:cNvPr>
        <xdr:cNvSpPr/>
      </xdr:nvSpPr>
      <xdr:spPr>
        <a:xfrm>
          <a:off x="5486825" y="390699"/>
          <a:ext cx="3838302" cy="520732"/>
        </a:xfrm>
        <a:prstGeom prst="roundRect">
          <a:avLst>
            <a:gd name="adj" fmla="val 50000"/>
          </a:avLst>
        </a:prstGeom>
        <a:solidFill>
          <a:schemeClr val="accent5">
            <a:lumMod val="75000"/>
          </a:schemeClr>
        </a:solidFill>
        <a:ln w="571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Adobe Fan Heiti Std B" panose="020B0700000000000000" pitchFamily="34" charset="-128"/>
              <a:ea typeface="Adobe Fan Heiti Std B" panose="020B0700000000000000" pitchFamily="34" charset="-128"/>
            </a:rPr>
            <a:t>1</a:t>
          </a:r>
          <a:r>
            <a:rPr lang="en-US" sz="1800" baseline="0">
              <a:latin typeface="Adobe Fan Heiti Std B" panose="020B0700000000000000" pitchFamily="34" charset="-128"/>
              <a:ea typeface="Adobe Fan Heiti Std B" panose="020B0700000000000000" pitchFamily="34" charset="-128"/>
            </a:rPr>
            <a:t> Week Sales Dashboard </a:t>
          </a:r>
          <a:endParaRPr lang="id-ID" sz="1800">
            <a:latin typeface="Adobe Fan Heiti Std B" panose="020B0700000000000000" pitchFamily="34" charset="-128"/>
            <a:ea typeface="Adobe Fan Heiti Std B" panose="020B0700000000000000" pitchFamily="34" charset="-128"/>
          </a:endParaRPr>
        </a:p>
      </xdr:txBody>
    </xdr:sp>
    <xdr:clientData/>
  </xdr:twoCellAnchor>
  <xdr:twoCellAnchor>
    <xdr:from>
      <xdr:col>0</xdr:col>
      <xdr:colOff>344325</xdr:colOff>
      <xdr:row>9</xdr:row>
      <xdr:rowOff>129117</xdr:rowOff>
    </xdr:from>
    <xdr:to>
      <xdr:col>12</xdr:col>
      <xdr:colOff>443344</xdr:colOff>
      <xdr:row>27</xdr:row>
      <xdr:rowOff>129116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769899-D8B3-0612-265C-EBDD80B758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53439</xdr:colOff>
      <xdr:row>6</xdr:row>
      <xdr:rowOff>168038</xdr:rowOff>
    </xdr:from>
    <xdr:to>
      <xdr:col>23</xdr:col>
      <xdr:colOff>608785</xdr:colOff>
      <xdr:row>28</xdr:row>
      <xdr:rowOff>163287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AD9A3629-471C-AF73-6204-9FAA6D9F0A77}"/>
            </a:ext>
          </a:extLst>
        </xdr:cNvPr>
        <xdr:cNvSpPr/>
      </xdr:nvSpPr>
      <xdr:spPr>
        <a:xfrm>
          <a:off x="7978239" y="1278381"/>
          <a:ext cx="6651346" cy="4066506"/>
        </a:xfrm>
        <a:prstGeom prst="roundRect">
          <a:avLst>
            <a:gd name="adj" fmla="val 7396"/>
          </a:avLst>
        </a:prstGeom>
        <a:solidFill>
          <a:schemeClr val="accent1">
            <a:lumMod val="40000"/>
            <a:lumOff val="60000"/>
          </a:schemeClr>
        </a:solidFill>
        <a:ln w="57150">
          <a:solidFill>
            <a:schemeClr val="bg2">
              <a:lumMod val="50000"/>
            </a:schemeClr>
          </a:solidFill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id-ID" sz="1800">
            <a:latin typeface="Adobe Fan Heiti Std B" panose="020B0700000000000000" pitchFamily="34" charset="-128"/>
            <a:ea typeface="Adobe Fan Heiti Std B" panose="020B0700000000000000" pitchFamily="34" charset="-128"/>
          </a:endParaRPr>
        </a:p>
      </xdr:txBody>
    </xdr:sp>
    <xdr:clientData/>
  </xdr:twoCellAnchor>
  <xdr:twoCellAnchor>
    <xdr:from>
      <xdr:col>4</xdr:col>
      <xdr:colOff>438493</xdr:colOff>
      <xdr:row>5</xdr:row>
      <xdr:rowOff>129092</xdr:rowOff>
    </xdr:from>
    <xdr:to>
      <xdr:col>7</xdr:col>
      <xdr:colOff>279149</xdr:colOff>
      <xdr:row>8</xdr:row>
      <xdr:rowOff>109498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B1E58374-F690-D554-3254-35B36A3A2045}"/>
            </a:ext>
          </a:extLst>
        </xdr:cNvPr>
        <xdr:cNvSpPr/>
      </xdr:nvSpPr>
      <xdr:spPr>
        <a:xfrm>
          <a:off x="2876893" y="1043492"/>
          <a:ext cx="1669456" cy="529046"/>
        </a:xfrm>
        <a:prstGeom prst="roundRect">
          <a:avLst>
            <a:gd name="adj" fmla="val 50000"/>
          </a:avLst>
        </a:prstGeom>
        <a:solidFill>
          <a:schemeClr val="accent1">
            <a:lumMod val="40000"/>
            <a:lumOff val="60000"/>
          </a:schemeClr>
        </a:solidFill>
        <a:ln w="57150">
          <a:solidFill>
            <a:schemeClr val="bg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0" i="0">
              <a:solidFill>
                <a:schemeClr val="tx1"/>
              </a:solidFill>
              <a:latin typeface="Adobe Fan Heiti Std B" panose="020B0700000000000000" pitchFamily="34" charset="-128"/>
              <a:ea typeface="Adobe Fan Heiti Std B" panose="020B0700000000000000" pitchFamily="34" charset="-128"/>
            </a:rPr>
            <a:t>Total</a:t>
          </a:r>
          <a:r>
            <a:rPr lang="en-US" sz="1800" b="0" i="0" baseline="0">
              <a:solidFill>
                <a:schemeClr val="tx1"/>
              </a:solidFill>
              <a:latin typeface="Adobe Fan Heiti Std B" panose="020B0700000000000000" pitchFamily="34" charset="-128"/>
              <a:ea typeface="Adobe Fan Heiti Std B" panose="020B0700000000000000" pitchFamily="34" charset="-128"/>
            </a:rPr>
            <a:t> Sales</a:t>
          </a:r>
          <a:endParaRPr lang="id-ID" sz="1800" b="0" i="0">
            <a:solidFill>
              <a:schemeClr val="tx1"/>
            </a:solidFill>
            <a:latin typeface="Adobe Fan Heiti Std B" panose="020B0700000000000000" pitchFamily="34" charset="-128"/>
            <a:ea typeface="Adobe Fan Heiti Std B" panose="020B0700000000000000" pitchFamily="34" charset="-128"/>
          </a:endParaRPr>
        </a:p>
      </xdr:txBody>
    </xdr:sp>
    <xdr:clientData/>
  </xdr:twoCellAnchor>
  <xdr:twoCellAnchor>
    <xdr:from>
      <xdr:col>12</xdr:col>
      <xdr:colOff>443226</xdr:colOff>
      <xdr:row>8</xdr:row>
      <xdr:rowOff>102197</xdr:rowOff>
    </xdr:from>
    <xdr:to>
      <xdr:col>23</xdr:col>
      <xdr:colOff>472617</xdr:colOff>
      <xdr:row>28</xdr:row>
      <xdr:rowOff>95441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8FEB1DEE-8803-0215-DA34-BC4BCE3363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132878</xdr:colOff>
      <xdr:row>5</xdr:row>
      <xdr:rowOff>147022</xdr:rowOff>
    </xdr:from>
    <xdr:to>
      <xdr:col>21</xdr:col>
      <xdr:colOff>529346</xdr:colOff>
      <xdr:row>8</xdr:row>
      <xdr:rowOff>127428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B4DE55FF-FC66-B066-63B3-4CA4A5A9214E}"/>
            </a:ext>
          </a:extLst>
        </xdr:cNvPr>
        <xdr:cNvSpPr/>
      </xdr:nvSpPr>
      <xdr:spPr>
        <a:xfrm>
          <a:off x="9276878" y="1043493"/>
          <a:ext cx="4054068" cy="518288"/>
        </a:xfrm>
        <a:prstGeom prst="roundRect">
          <a:avLst>
            <a:gd name="adj" fmla="val 50000"/>
          </a:avLst>
        </a:prstGeom>
        <a:solidFill>
          <a:schemeClr val="accent1">
            <a:lumMod val="40000"/>
            <a:lumOff val="60000"/>
          </a:schemeClr>
        </a:solidFill>
        <a:ln w="57150">
          <a:solidFill>
            <a:schemeClr val="bg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0" i="0">
              <a:solidFill>
                <a:schemeClr val="tx1"/>
              </a:solidFill>
              <a:latin typeface="Adobe Fan Heiti Std B" panose="020B0700000000000000" pitchFamily="34" charset="-128"/>
              <a:ea typeface="Adobe Fan Heiti Std B" panose="020B0700000000000000" pitchFamily="34" charset="-128"/>
            </a:rPr>
            <a:t>Daily</a:t>
          </a:r>
          <a:r>
            <a:rPr lang="en-US" sz="1800" b="0" i="0" baseline="0">
              <a:solidFill>
                <a:schemeClr val="tx1"/>
              </a:solidFill>
              <a:latin typeface="Adobe Fan Heiti Std B" panose="020B0700000000000000" pitchFamily="34" charset="-128"/>
              <a:ea typeface="Adobe Fan Heiti Std B" panose="020B0700000000000000" pitchFamily="34" charset="-128"/>
            </a:rPr>
            <a:t> Total Sales &amp; SalesPerson</a:t>
          </a:r>
          <a:endParaRPr lang="id-ID" sz="1800" b="0" i="0">
            <a:solidFill>
              <a:schemeClr val="tx1"/>
            </a:solidFill>
            <a:latin typeface="Adobe Fan Heiti Std B" panose="020B0700000000000000" pitchFamily="34" charset="-128"/>
            <a:ea typeface="Adobe Fan Heiti Std B" panose="020B0700000000000000" pitchFamily="34" charset="-128"/>
          </a:endParaRPr>
        </a:p>
      </xdr:txBody>
    </xdr:sp>
    <xdr:clientData/>
  </xdr:twoCellAnchor>
  <xdr:twoCellAnchor>
    <xdr:from>
      <xdr:col>0</xdr:col>
      <xdr:colOff>407720</xdr:colOff>
      <xdr:row>31</xdr:row>
      <xdr:rowOff>53244</xdr:rowOff>
    </xdr:from>
    <xdr:to>
      <xdr:col>11</xdr:col>
      <xdr:colOff>353466</xdr:colOff>
      <xdr:row>53</xdr:row>
      <xdr:rowOff>87086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D86FBFC4-B7A5-BD3F-51FC-29DB98622852}"/>
            </a:ext>
          </a:extLst>
        </xdr:cNvPr>
        <xdr:cNvSpPr/>
      </xdr:nvSpPr>
      <xdr:spPr>
        <a:xfrm>
          <a:off x="407720" y="5722524"/>
          <a:ext cx="6651346" cy="4057202"/>
        </a:xfrm>
        <a:prstGeom prst="roundRect">
          <a:avLst>
            <a:gd name="adj" fmla="val 7396"/>
          </a:avLst>
        </a:prstGeom>
        <a:solidFill>
          <a:schemeClr val="accent1">
            <a:lumMod val="40000"/>
            <a:lumOff val="60000"/>
          </a:schemeClr>
        </a:solidFill>
        <a:ln w="57150">
          <a:solidFill>
            <a:schemeClr val="bg2">
              <a:lumMod val="50000"/>
            </a:schemeClr>
          </a:solidFill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id-ID" sz="1800">
            <a:latin typeface="Adobe Fan Heiti Std B" panose="020B0700000000000000" pitchFamily="34" charset="-128"/>
            <a:ea typeface="Adobe Fan Heiti Std B" panose="020B0700000000000000" pitchFamily="34" charset="-128"/>
          </a:endParaRPr>
        </a:p>
      </xdr:txBody>
    </xdr:sp>
    <xdr:clientData/>
  </xdr:twoCellAnchor>
  <xdr:twoCellAnchor>
    <xdr:from>
      <xdr:col>2</xdr:col>
      <xdr:colOff>516021</xdr:colOff>
      <xdr:row>30</xdr:row>
      <xdr:rowOff>42007</xdr:rowOff>
    </xdr:from>
    <xdr:to>
      <xdr:col>9</xdr:col>
      <xdr:colOff>245165</xdr:colOff>
      <xdr:row>33</xdr:row>
      <xdr:rowOff>22412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EE2A85A4-2FC8-C459-266A-2BF06960DECD}"/>
            </a:ext>
          </a:extLst>
        </xdr:cNvPr>
        <xdr:cNvSpPr/>
      </xdr:nvSpPr>
      <xdr:spPr>
        <a:xfrm>
          <a:off x="1735221" y="5607920"/>
          <a:ext cx="3996344" cy="536996"/>
        </a:xfrm>
        <a:prstGeom prst="roundRect">
          <a:avLst>
            <a:gd name="adj" fmla="val 50000"/>
          </a:avLst>
        </a:prstGeom>
        <a:solidFill>
          <a:schemeClr val="accent1">
            <a:lumMod val="40000"/>
            <a:lumOff val="60000"/>
          </a:schemeClr>
        </a:solidFill>
        <a:ln w="57150">
          <a:solidFill>
            <a:schemeClr val="bg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0" i="0">
              <a:solidFill>
                <a:schemeClr val="tx1"/>
              </a:solidFill>
              <a:latin typeface="Adobe Fan Heiti Std B" panose="020B0700000000000000" pitchFamily="34" charset="-128"/>
              <a:ea typeface="Adobe Fan Heiti Std B" panose="020B0700000000000000" pitchFamily="34" charset="-128"/>
            </a:rPr>
            <a:t>Product Contribution $100k+</a:t>
          </a:r>
          <a:endParaRPr lang="id-ID" sz="1800" b="0" i="0">
            <a:solidFill>
              <a:schemeClr val="tx1"/>
            </a:solidFill>
            <a:latin typeface="Adobe Fan Heiti Std B" panose="020B0700000000000000" pitchFamily="34" charset="-128"/>
            <a:ea typeface="Adobe Fan Heiti Std B" panose="020B0700000000000000" pitchFamily="34" charset="-128"/>
          </a:endParaRPr>
        </a:p>
      </xdr:txBody>
    </xdr:sp>
    <xdr:clientData/>
  </xdr:twoCellAnchor>
  <xdr:twoCellAnchor>
    <xdr:from>
      <xdr:col>1</xdr:col>
      <xdr:colOff>531321</xdr:colOff>
      <xdr:row>31</xdr:row>
      <xdr:rowOff>139668</xdr:rowOff>
    </xdr:from>
    <xdr:to>
      <xdr:col>9</xdr:col>
      <xdr:colOff>599901</xdr:colOff>
      <xdr:row>54</xdr:row>
      <xdr:rowOff>114994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2268DC-3AA4-236B-0DC0-AEE402D5F0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31203</xdr:colOff>
      <xdr:row>31</xdr:row>
      <xdr:rowOff>44279</xdr:rowOff>
    </xdr:from>
    <xdr:to>
      <xdr:col>23</xdr:col>
      <xdr:colOff>586549</xdr:colOff>
      <xdr:row>53</xdr:row>
      <xdr:rowOff>78121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5330BC5D-AC84-5162-2515-9D7810575729}"/>
            </a:ext>
          </a:extLst>
        </xdr:cNvPr>
        <xdr:cNvSpPr/>
      </xdr:nvSpPr>
      <xdr:spPr>
        <a:xfrm>
          <a:off x="7956003" y="5602397"/>
          <a:ext cx="6651346" cy="3978312"/>
        </a:xfrm>
        <a:prstGeom prst="roundRect">
          <a:avLst>
            <a:gd name="adj" fmla="val 7396"/>
          </a:avLst>
        </a:prstGeom>
        <a:solidFill>
          <a:schemeClr val="accent1">
            <a:lumMod val="40000"/>
            <a:lumOff val="60000"/>
          </a:schemeClr>
        </a:solidFill>
        <a:ln w="57150">
          <a:solidFill>
            <a:schemeClr val="bg2">
              <a:lumMod val="50000"/>
            </a:schemeClr>
          </a:solidFill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id-ID" sz="1800">
            <a:latin typeface="Adobe Fan Heiti Std B" panose="020B0700000000000000" pitchFamily="34" charset="-128"/>
            <a:ea typeface="Adobe Fan Heiti Std B" panose="020B0700000000000000" pitchFamily="34" charset="-128"/>
          </a:endParaRPr>
        </a:p>
      </xdr:txBody>
    </xdr:sp>
    <xdr:clientData/>
  </xdr:twoCellAnchor>
  <xdr:twoCellAnchor>
    <xdr:from>
      <xdr:col>15</xdr:col>
      <xdr:colOff>139504</xdr:colOff>
      <xdr:row>30</xdr:row>
      <xdr:rowOff>33042</xdr:rowOff>
    </xdr:from>
    <xdr:to>
      <xdr:col>21</xdr:col>
      <xdr:colOff>478248</xdr:colOff>
      <xdr:row>33</xdr:row>
      <xdr:rowOff>13447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0EFA6A42-0B0C-076D-4217-02A1F6219C28}"/>
            </a:ext>
          </a:extLst>
        </xdr:cNvPr>
        <xdr:cNvSpPr/>
      </xdr:nvSpPr>
      <xdr:spPr>
        <a:xfrm>
          <a:off x="9283504" y="5411866"/>
          <a:ext cx="3996344" cy="518287"/>
        </a:xfrm>
        <a:prstGeom prst="roundRect">
          <a:avLst>
            <a:gd name="adj" fmla="val 50000"/>
          </a:avLst>
        </a:prstGeom>
        <a:solidFill>
          <a:schemeClr val="accent1">
            <a:lumMod val="40000"/>
            <a:lumOff val="60000"/>
          </a:schemeClr>
        </a:solidFill>
        <a:ln w="57150">
          <a:solidFill>
            <a:schemeClr val="bg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0" i="0">
              <a:solidFill>
                <a:schemeClr val="tx1"/>
              </a:solidFill>
              <a:latin typeface="Adobe Fan Heiti Std B" panose="020B0700000000000000" pitchFamily="34" charset="-128"/>
              <a:ea typeface="Adobe Fan Heiti Std B" panose="020B0700000000000000" pitchFamily="34" charset="-128"/>
            </a:rPr>
            <a:t>Total</a:t>
          </a:r>
          <a:r>
            <a:rPr lang="en-US" sz="1800" b="0" i="0" baseline="0">
              <a:solidFill>
                <a:schemeClr val="tx1"/>
              </a:solidFill>
              <a:latin typeface="Adobe Fan Heiti Std B" panose="020B0700000000000000" pitchFamily="34" charset="-128"/>
              <a:ea typeface="Adobe Fan Heiti Std B" panose="020B0700000000000000" pitchFamily="34" charset="-128"/>
            </a:rPr>
            <a:t> Sales Performance (July)</a:t>
          </a:r>
          <a:endParaRPr lang="id-ID" sz="1800" b="0" i="0">
            <a:solidFill>
              <a:schemeClr val="tx1"/>
            </a:solidFill>
            <a:latin typeface="Adobe Fan Heiti Std B" panose="020B0700000000000000" pitchFamily="34" charset="-128"/>
            <a:ea typeface="Adobe Fan Heiti Std B" panose="020B0700000000000000" pitchFamily="34" charset="-128"/>
          </a:endParaRPr>
        </a:p>
      </xdr:txBody>
    </xdr:sp>
    <xdr:clientData/>
  </xdr:twoCellAnchor>
  <xdr:twoCellAnchor>
    <xdr:from>
      <xdr:col>13</xdr:col>
      <xdr:colOff>377962</xdr:colOff>
      <xdr:row>32</xdr:row>
      <xdr:rowOff>124691</xdr:rowOff>
    </xdr:from>
    <xdr:to>
      <xdr:col>23</xdr:col>
      <xdr:colOff>389558</xdr:colOff>
      <xdr:row>66</xdr:row>
      <xdr:rowOff>126321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32E8B7F6-9BC0-7A7C-2F38-08C577CC18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870.612142245373" createdVersion="8" refreshedVersion="8" minRefreshableVersion="3" recordCount="76" xr:uid="{2406B649-F80F-4905-921A-FCA01053114A}">
  <cacheSource type="worksheet">
    <worksheetSource name="DataInTable_1"/>
  </cacheSource>
  <cacheFields count="7">
    <cacheField name="Date" numFmtId="14">
      <sharedItems containsSemiMixedTypes="0" containsNonDate="0" containsDate="1" containsString="0" minDate="2018-07-01T00:00:00" maxDate="2018-07-08T00:00:00" count="7">
        <d v="2018-07-01T00:00:00"/>
        <d v="2018-07-02T00:00:00"/>
        <d v="2018-07-03T00:00:00"/>
        <d v="2018-07-04T00:00:00"/>
        <d v="2018-07-05T00:00:00"/>
        <d v="2018-07-06T00:00:00"/>
        <d v="2018-07-07T00:00:00"/>
      </sharedItems>
    </cacheField>
    <cacheField name="Item" numFmtId="0">
      <sharedItems count="5">
        <s v="Printer"/>
        <s v="White Board"/>
        <s v="Office Chair"/>
        <s v="Diary"/>
        <s v="Projector"/>
      </sharedItems>
    </cacheField>
    <cacheField name="Sales Rep" numFmtId="0">
      <sharedItems count="5">
        <s v="John"/>
        <s v="Mark"/>
        <s v="Laura"/>
        <s v="Stacey"/>
        <s v="Bob"/>
      </sharedItems>
    </cacheField>
    <cacheField name="Quantity" numFmtId="0">
      <sharedItems containsSemiMixedTypes="0" containsString="0" containsNumber="1" containsInteger="1" minValue="3" maxValue="23"/>
    </cacheField>
    <cacheField name="Price" numFmtId="0">
      <sharedItems containsSemiMixedTypes="0" containsString="0" containsNumber="1" containsInteger="1" minValue="16" maxValue="230"/>
    </cacheField>
    <cacheField name="Commission" numFmtId="0">
      <sharedItems containsSemiMixedTypes="0" containsString="0" containsNumber="1" minValue="0.01" maxValue="0.12"/>
    </cacheField>
    <cacheField name="Total Sales" numFmtId="0">
      <sharedItems containsSemiMixedTypes="0" containsString="0" containsNumber="1" containsInteger="1" minValue="112" maxValue="5290"/>
    </cacheField>
  </cacheFields>
  <extLst>
    <ext xmlns:x14="http://schemas.microsoft.com/office/spreadsheetml/2009/9/main" uri="{725AE2AE-9491-48be-B2B4-4EB974FC3084}">
      <x14:pivotCacheDefinition pivotCacheId="160348250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875.634889930552" createdVersion="8" refreshedVersion="8" minRefreshableVersion="3" recordCount="324" xr:uid="{B61C3E4D-39CD-4C6B-B236-5628DF321373}">
  <cacheSource type="worksheet">
    <worksheetSource name="DataInTable"/>
  </cacheSource>
  <cacheFields count="7">
    <cacheField name="Date" numFmtId="14">
      <sharedItems containsSemiMixedTypes="0" containsNonDate="0" containsDate="1" containsString="0" minDate="2018-07-01T00:00:00" maxDate="2018-07-31T00:00:00" count="30"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</sharedItems>
    </cacheField>
    <cacheField name="Item" numFmtId="0">
      <sharedItems/>
    </cacheField>
    <cacheField name="Sales Rep" numFmtId="0">
      <sharedItems/>
    </cacheField>
    <cacheField name="Quantity" numFmtId="0">
      <sharedItems containsSemiMixedTypes="0" containsString="0" containsNumber="1" containsInteger="1" minValue="2" maxValue="23"/>
    </cacheField>
    <cacheField name="Price" numFmtId="0">
      <sharedItems containsSemiMixedTypes="0" containsString="0" containsNumber="1" containsInteger="1" minValue="16" maxValue="230"/>
    </cacheField>
    <cacheField name="Commission" numFmtId="9">
      <sharedItems containsSemiMixedTypes="0" containsString="0" containsNumber="1" minValue="0.01" maxValue="0.12"/>
    </cacheField>
    <cacheField name="Total Sales" numFmtId="164">
      <sharedItems containsSemiMixedTypes="0" containsString="0" containsNumber="1" containsInteger="1" minValue="32" maxValue="5290" count="87">
        <n v="480"/>
        <n v="560"/>
        <n v="5060"/>
        <n v="1840"/>
        <n v="2760"/>
        <n v="1520"/>
        <n v="272"/>
        <n v="1050"/>
        <n v="3000"/>
        <n v="336"/>
        <n v="1610"/>
        <n v="720"/>
        <n v="640"/>
        <n v="3450"/>
        <n v="352"/>
        <n v="920"/>
        <n v="1600"/>
        <n v="880"/>
        <n v="360"/>
        <n v="1280"/>
        <n v="800"/>
        <n v="192"/>
        <n v="900"/>
        <n v="176"/>
        <n v="1760"/>
        <n v="112"/>
        <n v="520"/>
        <n v="224"/>
        <n v="2400"/>
        <n v="1360"/>
        <n v="4370"/>
        <n v="160"/>
        <n v="5290"/>
        <n v="690"/>
        <n v="1950"/>
        <n v="368"/>
        <n v="4600"/>
        <n v="2250"/>
        <n v="1380"/>
        <n v="600"/>
        <n v="1680"/>
        <n v="3300"/>
        <n v="1120"/>
        <n v="750"/>
        <n v="2700"/>
        <n v="1650"/>
        <n v="1350"/>
        <n v="1440"/>
        <n v="128"/>
        <n v="440"/>
        <n v="64"/>
        <n v="2300"/>
        <n v="760"/>
        <n v="288"/>
        <n v="840"/>
        <n v="2550"/>
        <n v="460"/>
        <n v="120"/>
        <n v="4830"/>
        <n v="3910"/>
        <n v="320"/>
        <n v="1150"/>
        <n v="256"/>
        <n v="300"/>
        <n v="80"/>
        <n v="400"/>
        <n v="304"/>
        <n v="96"/>
        <n v="2070"/>
        <n v="280"/>
        <n v="200"/>
        <n v="240"/>
        <n v="144"/>
        <n v="1040"/>
        <n v="1200"/>
        <n v="450"/>
        <n v="2530"/>
        <n v="1500"/>
        <n v="48"/>
        <n v="2990"/>
        <n v="3220"/>
        <n v="3680"/>
        <n v="4140"/>
        <n v="680"/>
        <n v="208"/>
        <n v="960"/>
        <n v="3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x v="0"/>
    <x v="0"/>
    <x v="0"/>
    <n v="6"/>
    <n v="80"/>
    <n v="0.01"/>
    <n v="480"/>
  </r>
  <r>
    <x v="0"/>
    <x v="1"/>
    <x v="1"/>
    <n v="14"/>
    <n v="40"/>
    <n v="0.06"/>
    <n v="560"/>
  </r>
  <r>
    <x v="0"/>
    <x v="2"/>
    <x v="1"/>
    <n v="22"/>
    <n v="230"/>
    <n v="0.11"/>
    <n v="5060"/>
  </r>
  <r>
    <x v="0"/>
    <x v="2"/>
    <x v="0"/>
    <n v="8"/>
    <n v="230"/>
    <n v="0.03"/>
    <n v="1840"/>
  </r>
  <r>
    <x v="0"/>
    <x v="2"/>
    <x v="2"/>
    <n v="12"/>
    <n v="230"/>
    <n v="0.03"/>
    <n v="2760"/>
  </r>
  <r>
    <x v="0"/>
    <x v="0"/>
    <x v="3"/>
    <n v="19"/>
    <n v="80"/>
    <n v="0.02"/>
    <n v="1520"/>
  </r>
  <r>
    <x v="0"/>
    <x v="3"/>
    <x v="4"/>
    <n v="17"/>
    <n v="16"/>
    <n v="0.08"/>
    <n v="272"/>
  </r>
  <r>
    <x v="0"/>
    <x v="4"/>
    <x v="3"/>
    <n v="7"/>
    <n v="150"/>
    <n v="0.05"/>
    <n v="1050"/>
  </r>
  <r>
    <x v="0"/>
    <x v="4"/>
    <x v="3"/>
    <n v="20"/>
    <n v="150"/>
    <n v="0.1"/>
    <n v="3000"/>
  </r>
  <r>
    <x v="0"/>
    <x v="3"/>
    <x v="0"/>
    <n v="21"/>
    <n v="16"/>
    <n v="0.09"/>
    <n v="336"/>
  </r>
  <r>
    <x v="0"/>
    <x v="2"/>
    <x v="1"/>
    <n v="7"/>
    <n v="230"/>
    <n v="0.01"/>
    <n v="1610"/>
  </r>
  <r>
    <x v="1"/>
    <x v="0"/>
    <x v="3"/>
    <n v="7"/>
    <n v="80"/>
    <n v="7.0000000000000007E-2"/>
    <n v="560"/>
  </r>
  <r>
    <x v="1"/>
    <x v="0"/>
    <x v="4"/>
    <n v="9"/>
    <n v="80"/>
    <n v="0.02"/>
    <n v="720"/>
  </r>
  <r>
    <x v="1"/>
    <x v="1"/>
    <x v="4"/>
    <n v="16"/>
    <n v="40"/>
    <n v="0.09"/>
    <n v="640"/>
  </r>
  <r>
    <x v="1"/>
    <x v="4"/>
    <x v="1"/>
    <n v="23"/>
    <n v="150"/>
    <n v="0.11"/>
    <n v="3450"/>
  </r>
  <r>
    <x v="1"/>
    <x v="3"/>
    <x v="3"/>
    <n v="22"/>
    <n v="16"/>
    <n v="0.03"/>
    <n v="352"/>
  </r>
  <r>
    <x v="1"/>
    <x v="1"/>
    <x v="3"/>
    <n v="23"/>
    <n v="40"/>
    <n v="0.06"/>
    <n v="920"/>
  </r>
  <r>
    <x v="1"/>
    <x v="0"/>
    <x v="0"/>
    <n v="20"/>
    <n v="80"/>
    <n v="0.01"/>
    <n v="1600"/>
  </r>
  <r>
    <x v="2"/>
    <x v="0"/>
    <x v="3"/>
    <n v="11"/>
    <n v="80"/>
    <n v="0.01"/>
    <n v="880"/>
  </r>
  <r>
    <x v="2"/>
    <x v="1"/>
    <x v="3"/>
    <n v="9"/>
    <n v="40"/>
    <n v="0.06"/>
    <n v="360"/>
  </r>
  <r>
    <x v="2"/>
    <x v="0"/>
    <x v="4"/>
    <n v="16"/>
    <n v="80"/>
    <n v="0.09"/>
    <n v="1280"/>
  </r>
  <r>
    <x v="2"/>
    <x v="0"/>
    <x v="2"/>
    <n v="10"/>
    <n v="80"/>
    <n v="0.08"/>
    <n v="800"/>
  </r>
  <r>
    <x v="2"/>
    <x v="3"/>
    <x v="2"/>
    <n v="12"/>
    <n v="16"/>
    <n v="0.11"/>
    <n v="192"/>
  </r>
  <r>
    <x v="2"/>
    <x v="4"/>
    <x v="3"/>
    <n v="6"/>
    <n v="150"/>
    <n v="0.03"/>
    <n v="900"/>
  </r>
  <r>
    <x v="2"/>
    <x v="3"/>
    <x v="2"/>
    <n v="11"/>
    <n v="16"/>
    <n v="0.04"/>
    <n v="176"/>
  </r>
  <r>
    <x v="2"/>
    <x v="0"/>
    <x v="3"/>
    <n v="22"/>
    <n v="80"/>
    <n v="0.03"/>
    <n v="1760"/>
  </r>
  <r>
    <x v="2"/>
    <x v="3"/>
    <x v="1"/>
    <n v="7"/>
    <n v="16"/>
    <n v="0.08"/>
    <n v="112"/>
  </r>
  <r>
    <x v="2"/>
    <x v="1"/>
    <x v="3"/>
    <n v="13"/>
    <n v="40"/>
    <n v="0.09"/>
    <n v="520"/>
  </r>
  <r>
    <x v="2"/>
    <x v="2"/>
    <x v="3"/>
    <n v="8"/>
    <n v="230"/>
    <n v="0.05"/>
    <n v="1840"/>
  </r>
  <r>
    <x v="2"/>
    <x v="3"/>
    <x v="3"/>
    <n v="14"/>
    <n v="16"/>
    <n v="0.12"/>
    <n v="224"/>
  </r>
  <r>
    <x v="2"/>
    <x v="1"/>
    <x v="4"/>
    <n v="16"/>
    <n v="40"/>
    <n v="0.09"/>
    <n v="640"/>
  </r>
  <r>
    <x v="3"/>
    <x v="4"/>
    <x v="1"/>
    <n v="16"/>
    <n v="150"/>
    <n v="0.05"/>
    <n v="2400"/>
  </r>
  <r>
    <x v="3"/>
    <x v="1"/>
    <x v="1"/>
    <n v="12"/>
    <n v="40"/>
    <n v="0.1"/>
    <n v="480"/>
  </r>
  <r>
    <x v="3"/>
    <x v="0"/>
    <x v="4"/>
    <n v="17"/>
    <n v="80"/>
    <n v="7.0000000000000007E-2"/>
    <n v="1360"/>
  </r>
  <r>
    <x v="3"/>
    <x v="2"/>
    <x v="3"/>
    <n v="19"/>
    <n v="230"/>
    <n v="0.06"/>
    <n v="4370"/>
  </r>
  <r>
    <x v="3"/>
    <x v="2"/>
    <x v="4"/>
    <n v="22"/>
    <n v="230"/>
    <n v="0.1"/>
    <n v="5060"/>
  </r>
  <r>
    <x v="3"/>
    <x v="1"/>
    <x v="3"/>
    <n v="22"/>
    <n v="40"/>
    <n v="0.01"/>
    <n v="880"/>
  </r>
  <r>
    <x v="3"/>
    <x v="3"/>
    <x v="3"/>
    <n v="10"/>
    <n v="16"/>
    <n v="0.04"/>
    <n v="160"/>
  </r>
  <r>
    <x v="3"/>
    <x v="1"/>
    <x v="1"/>
    <n v="4"/>
    <n v="40"/>
    <n v="0.12"/>
    <n v="160"/>
  </r>
  <r>
    <x v="3"/>
    <x v="1"/>
    <x v="4"/>
    <n v="20"/>
    <n v="40"/>
    <n v="0.05"/>
    <n v="800"/>
  </r>
  <r>
    <x v="4"/>
    <x v="2"/>
    <x v="3"/>
    <n v="23"/>
    <n v="230"/>
    <n v="0.06"/>
    <n v="5290"/>
  </r>
  <r>
    <x v="4"/>
    <x v="1"/>
    <x v="2"/>
    <n v="20"/>
    <n v="40"/>
    <n v="0.01"/>
    <n v="800"/>
  </r>
  <r>
    <x v="4"/>
    <x v="4"/>
    <x v="2"/>
    <n v="20"/>
    <n v="150"/>
    <n v="0.04"/>
    <n v="3000"/>
  </r>
  <r>
    <x v="4"/>
    <x v="0"/>
    <x v="1"/>
    <n v="9"/>
    <n v="80"/>
    <n v="0.03"/>
    <n v="720"/>
  </r>
  <r>
    <x v="4"/>
    <x v="2"/>
    <x v="0"/>
    <n v="7"/>
    <n v="230"/>
    <n v="0.02"/>
    <n v="1610"/>
  </r>
  <r>
    <x v="4"/>
    <x v="2"/>
    <x v="0"/>
    <n v="3"/>
    <n v="230"/>
    <n v="0.06"/>
    <n v="690"/>
  </r>
  <r>
    <x v="4"/>
    <x v="4"/>
    <x v="0"/>
    <n v="13"/>
    <n v="150"/>
    <n v="0.05"/>
    <n v="1950"/>
  </r>
  <r>
    <x v="4"/>
    <x v="0"/>
    <x v="0"/>
    <n v="17"/>
    <n v="80"/>
    <n v="0.09"/>
    <n v="1360"/>
  </r>
  <r>
    <x v="5"/>
    <x v="1"/>
    <x v="3"/>
    <n v="18"/>
    <n v="40"/>
    <n v="0.06"/>
    <n v="720"/>
  </r>
  <r>
    <x v="5"/>
    <x v="3"/>
    <x v="2"/>
    <n v="23"/>
    <n v="16"/>
    <n v="0.11"/>
    <n v="368"/>
  </r>
  <r>
    <x v="5"/>
    <x v="2"/>
    <x v="2"/>
    <n v="20"/>
    <n v="230"/>
    <n v="0.06"/>
    <n v="4600"/>
  </r>
  <r>
    <x v="5"/>
    <x v="3"/>
    <x v="0"/>
    <n v="11"/>
    <n v="16"/>
    <n v="0.09"/>
    <n v="176"/>
  </r>
  <r>
    <x v="5"/>
    <x v="4"/>
    <x v="4"/>
    <n v="15"/>
    <n v="150"/>
    <n v="7.0000000000000007E-2"/>
    <n v="2250"/>
  </r>
  <r>
    <x v="5"/>
    <x v="2"/>
    <x v="1"/>
    <n v="6"/>
    <n v="230"/>
    <n v="0.1"/>
    <n v="1380"/>
  </r>
  <r>
    <x v="5"/>
    <x v="1"/>
    <x v="0"/>
    <n v="22"/>
    <n v="40"/>
    <n v="0.02"/>
    <n v="880"/>
  </r>
  <r>
    <x v="5"/>
    <x v="1"/>
    <x v="0"/>
    <n v="15"/>
    <n v="40"/>
    <n v="0.06"/>
    <n v="600"/>
  </r>
  <r>
    <x v="5"/>
    <x v="3"/>
    <x v="2"/>
    <n v="12"/>
    <n v="16"/>
    <n v="0.03"/>
    <n v="192"/>
  </r>
  <r>
    <x v="5"/>
    <x v="3"/>
    <x v="4"/>
    <n v="22"/>
    <n v="16"/>
    <n v="0.12"/>
    <n v="352"/>
  </r>
  <r>
    <x v="5"/>
    <x v="0"/>
    <x v="0"/>
    <n v="21"/>
    <n v="80"/>
    <n v="0.04"/>
    <n v="1680"/>
  </r>
  <r>
    <x v="5"/>
    <x v="4"/>
    <x v="0"/>
    <n v="22"/>
    <n v="150"/>
    <n v="0.05"/>
    <n v="3300"/>
  </r>
  <r>
    <x v="5"/>
    <x v="0"/>
    <x v="4"/>
    <n v="21"/>
    <n v="80"/>
    <n v="0.09"/>
    <n v="1680"/>
  </r>
  <r>
    <x v="5"/>
    <x v="0"/>
    <x v="3"/>
    <n v="10"/>
    <n v="80"/>
    <n v="0.1"/>
    <n v="800"/>
  </r>
  <r>
    <x v="5"/>
    <x v="2"/>
    <x v="1"/>
    <n v="15"/>
    <n v="230"/>
    <n v="0.09"/>
    <n v="3450"/>
  </r>
  <r>
    <x v="6"/>
    <x v="0"/>
    <x v="0"/>
    <n v="14"/>
    <n v="80"/>
    <n v="0.08"/>
    <n v="1120"/>
  </r>
  <r>
    <x v="6"/>
    <x v="0"/>
    <x v="4"/>
    <n v="10"/>
    <n v="80"/>
    <n v="0.06"/>
    <n v="800"/>
  </r>
  <r>
    <x v="6"/>
    <x v="4"/>
    <x v="0"/>
    <n v="5"/>
    <n v="150"/>
    <n v="0.11"/>
    <n v="750"/>
  </r>
  <r>
    <x v="6"/>
    <x v="2"/>
    <x v="3"/>
    <n v="3"/>
    <n v="230"/>
    <n v="0.01"/>
    <n v="690"/>
  </r>
  <r>
    <x v="6"/>
    <x v="1"/>
    <x v="3"/>
    <n v="4"/>
    <n v="40"/>
    <n v="0.05"/>
    <n v="160"/>
  </r>
  <r>
    <x v="6"/>
    <x v="4"/>
    <x v="2"/>
    <n v="18"/>
    <n v="150"/>
    <n v="0.06"/>
    <n v="2700"/>
  </r>
  <r>
    <x v="6"/>
    <x v="1"/>
    <x v="4"/>
    <n v="20"/>
    <n v="40"/>
    <n v="0.1"/>
    <n v="800"/>
  </r>
  <r>
    <x v="6"/>
    <x v="0"/>
    <x v="3"/>
    <n v="16"/>
    <n v="80"/>
    <n v="0.05"/>
    <n v="1280"/>
  </r>
  <r>
    <x v="6"/>
    <x v="1"/>
    <x v="2"/>
    <n v="4"/>
    <n v="40"/>
    <n v="0.06"/>
    <n v="160"/>
  </r>
  <r>
    <x v="6"/>
    <x v="1"/>
    <x v="1"/>
    <n v="4"/>
    <n v="40"/>
    <n v="0.03"/>
    <n v="160"/>
  </r>
  <r>
    <x v="6"/>
    <x v="1"/>
    <x v="1"/>
    <n v="15"/>
    <n v="40"/>
    <n v="0.02"/>
    <n v="600"/>
  </r>
  <r>
    <x v="6"/>
    <x v="1"/>
    <x v="2"/>
    <n v="20"/>
    <n v="40"/>
    <n v="0.01"/>
    <n v="800"/>
  </r>
  <r>
    <x v="6"/>
    <x v="3"/>
    <x v="4"/>
    <n v="14"/>
    <n v="16"/>
    <n v="0.06"/>
    <n v="22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4">
  <r>
    <x v="0"/>
    <s v="Printer"/>
    <s v="John"/>
    <n v="6"/>
    <n v="80"/>
    <n v="0.01"/>
    <x v="0"/>
  </r>
  <r>
    <x v="0"/>
    <s v="White Board"/>
    <s v="Mark"/>
    <n v="14"/>
    <n v="40"/>
    <n v="0.06"/>
    <x v="1"/>
  </r>
  <r>
    <x v="0"/>
    <s v="Office Chair"/>
    <s v="Mark"/>
    <n v="22"/>
    <n v="230"/>
    <n v="0.11"/>
    <x v="2"/>
  </r>
  <r>
    <x v="0"/>
    <s v="Office Chair"/>
    <s v="John"/>
    <n v="8"/>
    <n v="230"/>
    <n v="0.03"/>
    <x v="3"/>
  </r>
  <r>
    <x v="0"/>
    <s v="Office Chair"/>
    <s v="Laura"/>
    <n v="12"/>
    <n v="230"/>
    <n v="0.03"/>
    <x v="4"/>
  </r>
  <r>
    <x v="0"/>
    <s v="Printer"/>
    <s v="Stacey"/>
    <n v="19"/>
    <n v="80"/>
    <n v="0.02"/>
    <x v="5"/>
  </r>
  <r>
    <x v="0"/>
    <s v="Diary"/>
    <s v="Bob"/>
    <n v="17"/>
    <n v="16"/>
    <n v="0.08"/>
    <x v="6"/>
  </r>
  <r>
    <x v="0"/>
    <s v="Projector"/>
    <s v="Stacey"/>
    <n v="7"/>
    <n v="150"/>
    <n v="0.05"/>
    <x v="7"/>
  </r>
  <r>
    <x v="0"/>
    <s v="Projector"/>
    <s v="Stacey"/>
    <n v="20"/>
    <n v="150"/>
    <n v="0.1"/>
    <x v="8"/>
  </r>
  <r>
    <x v="0"/>
    <s v="Diary"/>
    <s v="John"/>
    <n v="21"/>
    <n v="16"/>
    <n v="0.09"/>
    <x v="9"/>
  </r>
  <r>
    <x v="0"/>
    <s v="Office Chair"/>
    <s v="Mark"/>
    <n v="7"/>
    <n v="230"/>
    <n v="0.01"/>
    <x v="10"/>
  </r>
  <r>
    <x v="1"/>
    <s v="Printer"/>
    <s v="Stacey"/>
    <n v="7"/>
    <n v="80"/>
    <n v="7.0000000000000007E-2"/>
    <x v="1"/>
  </r>
  <r>
    <x v="1"/>
    <s v="Printer"/>
    <s v="Bob"/>
    <n v="9"/>
    <n v="80"/>
    <n v="0.02"/>
    <x v="11"/>
  </r>
  <r>
    <x v="1"/>
    <s v="White Board"/>
    <s v="Bob"/>
    <n v="16"/>
    <n v="40"/>
    <n v="0.09"/>
    <x v="12"/>
  </r>
  <r>
    <x v="1"/>
    <s v="Projector"/>
    <s v="Mark"/>
    <n v="23"/>
    <n v="150"/>
    <n v="0.11"/>
    <x v="13"/>
  </r>
  <r>
    <x v="1"/>
    <s v="Diary"/>
    <s v="Stacey"/>
    <n v="22"/>
    <n v="16"/>
    <n v="0.03"/>
    <x v="14"/>
  </r>
  <r>
    <x v="1"/>
    <s v="White Board"/>
    <s v="Stacey"/>
    <n v="23"/>
    <n v="40"/>
    <n v="0.06"/>
    <x v="15"/>
  </r>
  <r>
    <x v="1"/>
    <s v="Printer"/>
    <s v="John"/>
    <n v="20"/>
    <n v="80"/>
    <n v="0.01"/>
    <x v="16"/>
  </r>
  <r>
    <x v="2"/>
    <s v="Printer"/>
    <s v="Stacey"/>
    <n v="11"/>
    <n v="80"/>
    <n v="0.01"/>
    <x v="17"/>
  </r>
  <r>
    <x v="2"/>
    <s v="White Board"/>
    <s v="Stacey"/>
    <n v="9"/>
    <n v="40"/>
    <n v="0.06"/>
    <x v="18"/>
  </r>
  <r>
    <x v="2"/>
    <s v="Printer"/>
    <s v="Bob"/>
    <n v="16"/>
    <n v="80"/>
    <n v="0.09"/>
    <x v="19"/>
  </r>
  <r>
    <x v="2"/>
    <s v="Printer"/>
    <s v="Laura"/>
    <n v="10"/>
    <n v="80"/>
    <n v="0.08"/>
    <x v="20"/>
  </r>
  <r>
    <x v="2"/>
    <s v="Diary"/>
    <s v="Laura"/>
    <n v="12"/>
    <n v="16"/>
    <n v="0.11"/>
    <x v="21"/>
  </r>
  <r>
    <x v="2"/>
    <s v="Projector"/>
    <s v="Stacey"/>
    <n v="6"/>
    <n v="150"/>
    <n v="0.03"/>
    <x v="22"/>
  </r>
  <r>
    <x v="2"/>
    <s v="Diary"/>
    <s v="Laura"/>
    <n v="11"/>
    <n v="16"/>
    <n v="0.04"/>
    <x v="23"/>
  </r>
  <r>
    <x v="2"/>
    <s v="Printer"/>
    <s v="Stacey"/>
    <n v="22"/>
    <n v="80"/>
    <n v="0.03"/>
    <x v="24"/>
  </r>
  <r>
    <x v="2"/>
    <s v="Diary"/>
    <s v="Mark"/>
    <n v="7"/>
    <n v="16"/>
    <n v="0.08"/>
    <x v="25"/>
  </r>
  <r>
    <x v="2"/>
    <s v="White Board"/>
    <s v="Stacey"/>
    <n v="13"/>
    <n v="40"/>
    <n v="0.09"/>
    <x v="26"/>
  </r>
  <r>
    <x v="2"/>
    <s v="Office Chair"/>
    <s v="Stacey"/>
    <n v="8"/>
    <n v="230"/>
    <n v="0.05"/>
    <x v="3"/>
  </r>
  <r>
    <x v="2"/>
    <s v="Diary"/>
    <s v="Stacey"/>
    <n v="14"/>
    <n v="16"/>
    <n v="0.12"/>
    <x v="27"/>
  </r>
  <r>
    <x v="2"/>
    <s v="White Board"/>
    <s v="Bob"/>
    <n v="16"/>
    <n v="40"/>
    <n v="0.09"/>
    <x v="12"/>
  </r>
  <r>
    <x v="3"/>
    <s v="Projector"/>
    <s v="Mark"/>
    <n v="16"/>
    <n v="150"/>
    <n v="0.05"/>
    <x v="28"/>
  </r>
  <r>
    <x v="3"/>
    <s v="White Board"/>
    <s v="Mark"/>
    <n v="12"/>
    <n v="40"/>
    <n v="0.1"/>
    <x v="0"/>
  </r>
  <r>
    <x v="3"/>
    <s v="Printer"/>
    <s v="Bob"/>
    <n v="17"/>
    <n v="80"/>
    <n v="7.0000000000000007E-2"/>
    <x v="29"/>
  </r>
  <r>
    <x v="3"/>
    <s v="Office Chair"/>
    <s v="Stacey"/>
    <n v="19"/>
    <n v="230"/>
    <n v="0.06"/>
    <x v="30"/>
  </r>
  <r>
    <x v="3"/>
    <s v="Office Chair"/>
    <s v="Bob"/>
    <n v="22"/>
    <n v="230"/>
    <n v="0.1"/>
    <x v="2"/>
  </r>
  <r>
    <x v="3"/>
    <s v="White Board"/>
    <s v="Stacey"/>
    <n v="22"/>
    <n v="40"/>
    <n v="0.01"/>
    <x v="17"/>
  </r>
  <r>
    <x v="3"/>
    <s v="Diary"/>
    <s v="Stacey"/>
    <n v="10"/>
    <n v="16"/>
    <n v="0.04"/>
    <x v="31"/>
  </r>
  <r>
    <x v="3"/>
    <s v="White Board"/>
    <s v="Mark"/>
    <n v="4"/>
    <n v="40"/>
    <n v="0.12"/>
    <x v="31"/>
  </r>
  <r>
    <x v="3"/>
    <s v="White Board"/>
    <s v="Bob"/>
    <n v="20"/>
    <n v="40"/>
    <n v="0.05"/>
    <x v="20"/>
  </r>
  <r>
    <x v="4"/>
    <s v="Office Chair"/>
    <s v="Stacey"/>
    <n v="23"/>
    <n v="230"/>
    <n v="0.06"/>
    <x v="32"/>
  </r>
  <r>
    <x v="4"/>
    <s v="White Board"/>
    <s v="Laura"/>
    <n v="20"/>
    <n v="40"/>
    <n v="0.01"/>
    <x v="20"/>
  </r>
  <r>
    <x v="4"/>
    <s v="Projector"/>
    <s v="Laura"/>
    <n v="20"/>
    <n v="150"/>
    <n v="0.04"/>
    <x v="8"/>
  </r>
  <r>
    <x v="4"/>
    <s v="Printer"/>
    <s v="Mark"/>
    <n v="9"/>
    <n v="80"/>
    <n v="0.03"/>
    <x v="11"/>
  </r>
  <r>
    <x v="4"/>
    <s v="Office Chair"/>
    <s v="John"/>
    <n v="7"/>
    <n v="230"/>
    <n v="0.02"/>
    <x v="10"/>
  </r>
  <r>
    <x v="4"/>
    <s v="Office Chair"/>
    <s v="John"/>
    <n v="3"/>
    <n v="230"/>
    <n v="0.06"/>
    <x v="33"/>
  </r>
  <r>
    <x v="4"/>
    <s v="Projector"/>
    <s v="John"/>
    <n v="13"/>
    <n v="150"/>
    <n v="0.05"/>
    <x v="34"/>
  </r>
  <r>
    <x v="4"/>
    <s v="Printer"/>
    <s v="John"/>
    <n v="17"/>
    <n v="80"/>
    <n v="0.09"/>
    <x v="29"/>
  </r>
  <r>
    <x v="5"/>
    <s v="White Board"/>
    <s v="Stacey"/>
    <n v="18"/>
    <n v="40"/>
    <n v="0.06"/>
    <x v="11"/>
  </r>
  <r>
    <x v="5"/>
    <s v="Diary"/>
    <s v="Laura"/>
    <n v="23"/>
    <n v="16"/>
    <n v="0.11"/>
    <x v="35"/>
  </r>
  <r>
    <x v="5"/>
    <s v="Office Chair"/>
    <s v="Laura"/>
    <n v="20"/>
    <n v="230"/>
    <n v="0.06"/>
    <x v="36"/>
  </r>
  <r>
    <x v="5"/>
    <s v="Diary"/>
    <s v="John"/>
    <n v="11"/>
    <n v="16"/>
    <n v="0.09"/>
    <x v="23"/>
  </r>
  <r>
    <x v="5"/>
    <s v="Projector"/>
    <s v="Bob"/>
    <n v="15"/>
    <n v="150"/>
    <n v="7.0000000000000007E-2"/>
    <x v="37"/>
  </r>
  <r>
    <x v="5"/>
    <s v="Office Chair"/>
    <s v="Mark"/>
    <n v="6"/>
    <n v="230"/>
    <n v="0.1"/>
    <x v="38"/>
  </r>
  <r>
    <x v="5"/>
    <s v="White Board"/>
    <s v="John"/>
    <n v="22"/>
    <n v="40"/>
    <n v="0.02"/>
    <x v="17"/>
  </r>
  <r>
    <x v="5"/>
    <s v="White Board"/>
    <s v="John"/>
    <n v="15"/>
    <n v="40"/>
    <n v="0.06"/>
    <x v="39"/>
  </r>
  <r>
    <x v="5"/>
    <s v="Diary"/>
    <s v="Laura"/>
    <n v="12"/>
    <n v="16"/>
    <n v="0.03"/>
    <x v="21"/>
  </r>
  <r>
    <x v="5"/>
    <s v="Diary"/>
    <s v="Bob"/>
    <n v="22"/>
    <n v="16"/>
    <n v="0.12"/>
    <x v="14"/>
  </r>
  <r>
    <x v="5"/>
    <s v="Printer"/>
    <s v="John"/>
    <n v="21"/>
    <n v="80"/>
    <n v="0.04"/>
    <x v="40"/>
  </r>
  <r>
    <x v="5"/>
    <s v="Projector"/>
    <s v="John"/>
    <n v="22"/>
    <n v="150"/>
    <n v="0.05"/>
    <x v="41"/>
  </r>
  <r>
    <x v="5"/>
    <s v="Printer"/>
    <s v="Bob"/>
    <n v="21"/>
    <n v="80"/>
    <n v="0.09"/>
    <x v="40"/>
  </r>
  <r>
    <x v="5"/>
    <s v="Printer"/>
    <s v="Stacey"/>
    <n v="10"/>
    <n v="80"/>
    <n v="0.1"/>
    <x v="20"/>
  </r>
  <r>
    <x v="5"/>
    <s v="Office Chair"/>
    <s v="Mark"/>
    <n v="15"/>
    <n v="230"/>
    <n v="0.09"/>
    <x v="13"/>
  </r>
  <r>
    <x v="6"/>
    <s v="Printer"/>
    <s v="John"/>
    <n v="14"/>
    <n v="80"/>
    <n v="0.08"/>
    <x v="42"/>
  </r>
  <r>
    <x v="6"/>
    <s v="Printer"/>
    <s v="Bob"/>
    <n v="10"/>
    <n v="80"/>
    <n v="0.06"/>
    <x v="20"/>
  </r>
  <r>
    <x v="6"/>
    <s v="Projector"/>
    <s v="John"/>
    <n v="5"/>
    <n v="150"/>
    <n v="0.11"/>
    <x v="43"/>
  </r>
  <r>
    <x v="6"/>
    <s v="Office Chair"/>
    <s v="Stacey"/>
    <n v="3"/>
    <n v="230"/>
    <n v="0.01"/>
    <x v="33"/>
  </r>
  <r>
    <x v="6"/>
    <s v="White Board"/>
    <s v="Stacey"/>
    <n v="4"/>
    <n v="40"/>
    <n v="0.05"/>
    <x v="31"/>
  </r>
  <r>
    <x v="6"/>
    <s v="Projector"/>
    <s v="Laura"/>
    <n v="18"/>
    <n v="150"/>
    <n v="0.06"/>
    <x v="44"/>
  </r>
  <r>
    <x v="6"/>
    <s v="White Board"/>
    <s v="Bob"/>
    <n v="20"/>
    <n v="40"/>
    <n v="0.1"/>
    <x v="20"/>
  </r>
  <r>
    <x v="6"/>
    <s v="Printer"/>
    <s v="Stacey"/>
    <n v="16"/>
    <n v="80"/>
    <n v="0.05"/>
    <x v="19"/>
  </r>
  <r>
    <x v="6"/>
    <s v="White Board"/>
    <s v="Laura"/>
    <n v="4"/>
    <n v="40"/>
    <n v="0.06"/>
    <x v="31"/>
  </r>
  <r>
    <x v="6"/>
    <s v="White Board"/>
    <s v="Mark"/>
    <n v="4"/>
    <n v="40"/>
    <n v="0.03"/>
    <x v="31"/>
  </r>
  <r>
    <x v="6"/>
    <s v="White Board"/>
    <s v="Mark"/>
    <n v="15"/>
    <n v="40"/>
    <n v="0.02"/>
    <x v="39"/>
  </r>
  <r>
    <x v="6"/>
    <s v="White Board"/>
    <s v="Laura"/>
    <n v="20"/>
    <n v="40"/>
    <n v="0.01"/>
    <x v="20"/>
  </r>
  <r>
    <x v="6"/>
    <s v="Diary"/>
    <s v="Bob"/>
    <n v="14"/>
    <n v="16"/>
    <n v="0.06"/>
    <x v="27"/>
  </r>
  <r>
    <x v="7"/>
    <s v="Projector"/>
    <s v="Laura"/>
    <n v="11"/>
    <n v="150"/>
    <n v="0.11"/>
    <x v="45"/>
  </r>
  <r>
    <x v="7"/>
    <s v="Projector"/>
    <s v="Laura"/>
    <n v="9"/>
    <n v="150"/>
    <n v="0.02"/>
    <x v="46"/>
  </r>
  <r>
    <x v="7"/>
    <s v="Diary"/>
    <s v="Bob"/>
    <n v="11"/>
    <n v="16"/>
    <n v="0.12"/>
    <x v="23"/>
  </r>
  <r>
    <x v="7"/>
    <s v="White Board"/>
    <s v="Laura"/>
    <n v="13"/>
    <n v="40"/>
    <n v="0.02"/>
    <x v="26"/>
  </r>
  <r>
    <x v="7"/>
    <s v="White Board"/>
    <s v="Laura"/>
    <n v="4"/>
    <n v="40"/>
    <n v="0.1"/>
    <x v="31"/>
  </r>
  <r>
    <x v="7"/>
    <s v="Office Chair"/>
    <s v="John"/>
    <n v="3"/>
    <n v="230"/>
    <n v="0.11"/>
    <x v="33"/>
  </r>
  <r>
    <x v="7"/>
    <s v="Printer"/>
    <s v="Laura"/>
    <n v="6"/>
    <n v="80"/>
    <n v="0.09"/>
    <x v="0"/>
  </r>
  <r>
    <x v="7"/>
    <s v="Projector"/>
    <s v="John"/>
    <n v="9"/>
    <n v="150"/>
    <n v="0.1"/>
    <x v="46"/>
  </r>
  <r>
    <x v="7"/>
    <s v="Printer"/>
    <s v="Mark"/>
    <n v="14"/>
    <n v="80"/>
    <n v="0.11"/>
    <x v="42"/>
  </r>
  <r>
    <x v="7"/>
    <s v="Printer"/>
    <s v="John"/>
    <n v="18"/>
    <n v="80"/>
    <n v="0.02"/>
    <x v="47"/>
  </r>
  <r>
    <x v="7"/>
    <s v="White Board"/>
    <s v="John"/>
    <n v="20"/>
    <n v="40"/>
    <n v="0.04"/>
    <x v="20"/>
  </r>
  <r>
    <x v="8"/>
    <s v="Diary"/>
    <s v="Laura"/>
    <n v="8"/>
    <n v="16"/>
    <n v="0.03"/>
    <x v="48"/>
  </r>
  <r>
    <x v="8"/>
    <s v="Printer"/>
    <s v="Mark"/>
    <n v="14"/>
    <n v="80"/>
    <n v="0.06"/>
    <x v="42"/>
  </r>
  <r>
    <x v="8"/>
    <s v="Projector"/>
    <s v="John"/>
    <n v="20"/>
    <n v="150"/>
    <n v="0.01"/>
    <x v="8"/>
  </r>
  <r>
    <x v="8"/>
    <s v="White Board"/>
    <s v="Stacey"/>
    <n v="15"/>
    <n v="40"/>
    <n v="0.03"/>
    <x v="39"/>
  </r>
  <r>
    <x v="8"/>
    <s v="White Board"/>
    <s v="Mark"/>
    <n v="18"/>
    <n v="40"/>
    <n v="0.08"/>
    <x v="11"/>
  </r>
  <r>
    <x v="8"/>
    <s v="White Board"/>
    <s v="Bob"/>
    <n v="11"/>
    <n v="40"/>
    <n v="0.05"/>
    <x v="49"/>
  </r>
  <r>
    <x v="9"/>
    <s v="White Board"/>
    <s v="Bob"/>
    <n v="23"/>
    <n v="40"/>
    <n v="0.04"/>
    <x v="15"/>
  </r>
  <r>
    <x v="9"/>
    <s v="Diary"/>
    <s v="Bob"/>
    <n v="17"/>
    <n v="16"/>
    <n v="0.1"/>
    <x v="6"/>
  </r>
  <r>
    <x v="9"/>
    <s v="Diary"/>
    <s v="Mark"/>
    <n v="4"/>
    <n v="16"/>
    <n v="7.0000000000000007E-2"/>
    <x v="50"/>
  </r>
  <r>
    <x v="9"/>
    <s v="Printer"/>
    <s v="Laura"/>
    <n v="23"/>
    <n v="80"/>
    <n v="0.05"/>
    <x v="3"/>
  </r>
  <r>
    <x v="9"/>
    <s v="Office Chair"/>
    <s v="Laura"/>
    <n v="10"/>
    <n v="230"/>
    <n v="0.02"/>
    <x v="51"/>
  </r>
  <r>
    <x v="9"/>
    <s v="Diary"/>
    <s v="Laura"/>
    <n v="14"/>
    <n v="16"/>
    <n v="0.01"/>
    <x v="27"/>
  </r>
  <r>
    <x v="9"/>
    <s v="White Board"/>
    <s v="Mark"/>
    <n v="19"/>
    <n v="40"/>
    <n v="0.1"/>
    <x v="52"/>
  </r>
  <r>
    <x v="9"/>
    <s v="Printer"/>
    <s v="Bob"/>
    <n v="22"/>
    <n v="80"/>
    <n v="0.09"/>
    <x v="24"/>
  </r>
  <r>
    <x v="9"/>
    <s v="Diary"/>
    <s v="John"/>
    <n v="18"/>
    <n v="16"/>
    <n v="0.05"/>
    <x v="53"/>
  </r>
  <r>
    <x v="9"/>
    <s v="White Board"/>
    <s v="John"/>
    <n v="18"/>
    <n v="40"/>
    <n v="0.11"/>
    <x v="11"/>
  </r>
  <r>
    <x v="9"/>
    <s v="White Board"/>
    <s v="Bob"/>
    <n v="21"/>
    <n v="40"/>
    <n v="0.01"/>
    <x v="54"/>
  </r>
  <r>
    <x v="9"/>
    <s v="Printer"/>
    <s v="John"/>
    <n v="6"/>
    <n v="80"/>
    <n v="7.0000000000000007E-2"/>
    <x v="0"/>
  </r>
  <r>
    <x v="9"/>
    <s v="Projector"/>
    <s v="Bob"/>
    <n v="17"/>
    <n v="150"/>
    <n v="0.02"/>
    <x v="55"/>
  </r>
  <r>
    <x v="9"/>
    <s v="Printer"/>
    <s v="Laura"/>
    <n v="16"/>
    <n v="80"/>
    <n v="0.02"/>
    <x v="19"/>
  </r>
  <r>
    <x v="9"/>
    <s v="White Board"/>
    <s v="Mark"/>
    <n v="15"/>
    <n v="40"/>
    <n v="0.04"/>
    <x v="39"/>
  </r>
  <r>
    <x v="9"/>
    <s v="Office Chair"/>
    <s v="Stacey"/>
    <n v="2"/>
    <n v="230"/>
    <n v="0.08"/>
    <x v="56"/>
  </r>
  <r>
    <x v="9"/>
    <s v="White Board"/>
    <s v="Bob"/>
    <n v="3"/>
    <n v="40"/>
    <n v="0.03"/>
    <x v="57"/>
  </r>
  <r>
    <x v="9"/>
    <s v="Office Chair"/>
    <s v="Bob"/>
    <n v="21"/>
    <n v="230"/>
    <n v="0.05"/>
    <x v="58"/>
  </r>
  <r>
    <x v="9"/>
    <s v="Projector"/>
    <s v="John"/>
    <n v="11"/>
    <n v="150"/>
    <n v="0.05"/>
    <x v="45"/>
  </r>
  <r>
    <x v="10"/>
    <s v="Projector"/>
    <s v="Mark"/>
    <n v="15"/>
    <n v="150"/>
    <n v="0.02"/>
    <x v="37"/>
  </r>
  <r>
    <x v="10"/>
    <s v="Printer"/>
    <s v="Stacey"/>
    <n v="16"/>
    <n v="80"/>
    <n v="0.1"/>
    <x v="19"/>
  </r>
  <r>
    <x v="10"/>
    <s v="Office Chair"/>
    <s v="Bob"/>
    <n v="17"/>
    <n v="230"/>
    <n v="0.11"/>
    <x v="59"/>
  </r>
  <r>
    <x v="10"/>
    <s v="White Board"/>
    <s v="Bob"/>
    <n v="16"/>
    <n v="40"/>
    <n v="0.11"/>
    <x v="12"/>
  </r>
  <r>
    <x v="10"/>
    <s v="Printer"/>
    <s v="Stacey"/>
    <n v="2"/>
    <n v="80"/>
    <n v="0.08"/>
    <x v="31"/>
  </r>
  <r>
    <x v="10"/>
    <s v="Projector"/>
    <s v="Mark"/>
    <n v="22"/>
    <n v="150"/>
    <n v="0.02"/>
    <x v="41"/>
  </r>
  <r>
    <x v="10"/>
    <s v="Printer"/>
    <s v="John"/>
    <n v="16"/>
    <n v="80"/>
    <n v="0.03"/>
    <x v="19"/>
  </r>
  <r>
    <x v="11"/>
    <s v="Diary"/>
    <s v="John"/>
    <n v="20"/>
    <n v="16"/>
    <n v="0.11"/>
    <x v="60"/>
  </r>
  <r>
    <x v="11"/>
    <s v="Printer"/>
    <s v="Bob"/>
    <n v="9"/>
    <n v="80"/>
    <n v="7.0000000000000007E-2"/>
    <x v="11"/>
  </r>
  <r>
    <x v="11"/>
    <s v="Office Chair"/>
    <s v="Bob"/>
    <n v="5"/>
    <n v="230"/>
    <n v="0.12"/>
    <x v="61"/>
  </r>
  <r>
    <x v="11"/>
    <s v="Diary"/>
    <s v="John"/>
    <n v="20"/>
    <n v="16"/>
    <n v="0.01"/>
    <x v="60"/>
  </r>
  <r>
    <x v="11"/>
    <s v="Diary"/>
    <s v="John"/>
    <n v="16"/>
    <n v="16"/>
    <n v="0.03"/>
    <x v="62"/>
  </r>
  <r>
    <x v="11"/>
    <s v="Projector"/>
    <s v="Stacey"/>
    <n v="15"/>
    <n v="150"/>
    <n v="0.05"/>
    <x v="37"/>
  </r>
  <r>
    <x v="11"/>
    <s v="Office Chair"/>
    <s v="Mark"/>
    <n v="19"/>
    <n v="230"/>
    <n v="0.11"/>
    <x v="30"/>
  </r>
  <r>
    <x v="12"/>
    <s v="Projector"/>
    <s v="Laura"/>
    <n v="2"/>
    <n v="150"/>
    <n v="0.02"/>
    <x v="63"/>
  </r>
  <r>
    <x v="12"/>
    <s v="Printer"/>
    <s v="Bob"/>
    <n v="16"/>
    <n v="80"/>
    <n v="0.05"/>
    <x v="19"/>
  </r>
  <r>
    <x v="12"/>
    <s v="White Board"/>
    <s v="Laura"/>
    <n v="2"/>
    <n v="40"/>
    <n v="0.03"/>
    <x v="64"/>
  </r>
  <r>
    <x v="12"/>
    <s v="Printer"/>
    <s v="Mark"/>
    <n v="5"/>
    <n v="80"/>
    <n v="0.04"/>
    <x v="65"/>
  </r>
  <r>
    <x v="12"/>
    <s v="Office Chair"/>
    <s v="Stacey"/>
    <n v="17"/>
    <n v="230"/>
    <n v="0.12"/>
    <x v="59"/>
  </r>
  <r>
    <x v="12"/>
    <s v="Printer"/>
    <s v="John"/>
    <n v="8"/>
    <n v="80"/>
    <n v="0.08"/>
    <x v="12"/>
  </r>
  <r>
    <x v="12"/>
    <s v="White Board"/>
    <s v="Mark"/>
    <n v="4"/>
    <n v="40"/>
    <n v="0.06"/>
    <x v="31"/>
  </r>
  <r>
    <x v="12"/>
    <s v="Diary"/>
    <s v="Laura"/>
    <n v="17"/>
    <n v="16"/>
    <n v="0.05"/>
    <x v="6"/>
  </r>
  <r>
    <x v="12"/>
    <s v="Office Chair"/>
    <s v="Stacey"/>
    <n v="8"/>
    <n v="230"/>
    <n v="0.01"/>
    <x v="3"/>
  </r>
  <r>
    <x v="12"/>
    <s v="Diary"/>
    <s v="Bob"/>
    <n v="19"/>
    <n v="16"/>
    <n v="0.02"/>
    <x v="66"/>
  </r>
  <r>
    <x v="13"/>
    <s v="White Board"/>
    <s v="John"/>
    <n v="18"/>
    <n v="40"/>
    <n v="0.06"/>
    <x v="11"/>
  </r>
  <r>
    <x v="13"/>
    <s v="Projector"/>
    <s v="Bob"/>
    <n v="23"/>
    <n v="150"/>
    <n v="0.08"/>
    <x v="13"/>
  </r>
  <r>
    <x v="13"/>
    <s v="Office Chair"/>
    <s v="John"/>
    <n v="5"/>
    <n v="230"/>
    <n v="0.1"/>
    <x v="61"/>
  </r>
  <r>
    <x v="13"/>
    <s v="Printer"/>
    <s v="Stacey"/>
    <n v="21"/>
    <n v="80"/>
    <n v="0.02"/>
    <x v="40"/>
  </r>
  <r>
    <x v="13"/>
    <s v="Diary"/>
    <s v="Laura"/>
    <n v="6"/>
    <n v="16"/>
    <n v="7.0000000000000007E-2"/>
    <x v="67"/>
  </r>
  <r>
    <x v="13"/>
    <s v="White Board"/>
    <s v="John"/>
    <n v="9"/>
    <n v="40"/>
    <n v="0.01"/>
    <x v="18"/>
  </r>
  <r>
    <x v="13"/>
    <s v="Office Chair"/>
    <s v="Mark"/>
    <n v="9"/>
    <n v="230"/>
    <n v="0.03"/>
    <x v="68"/>
  </r>
  <r>
    <x v="13"/>
    <s v="Office Chair"/>
    <s v="Laura"/>
    <n v="5"/>
    <n v="230"/>
    <n v="0.1"/>
    <x v="61"/>
  </r>
  <r>
    <x v="13"/>
    <s v="White Board"/>
    <s v="Stacey"/>
    <n v="7"/>
    <n v="40"/>
    <n v="0.11"/>
    <x v="69"/>
  </r>
  <r>
    <x v="13"/>
    <s v="Office Chair"/>
    <s v="John"/>
    <n v="20"/>
    <n v="230"/>
    <n v="0.04"/>
    <x v="36"/>
  </r>
  <r>
    <x v="13"/>
    <s v="Projector"/>
    <s v="John"/>
    <n v="22"/>
    <n v="150"/>
    <n v="7.0000000000000007E-2"/>
    <x v="41"/>
  </r>
  <r>
    <x v="14"/>
    <s v="Office Chair"/>
    <s v="Laura"/>
    <n v="6"/>
    <n v="230"/>
    <n v="0.05"/>
    <x v="38"/>
  </r>
  <r>
    <x v="14"/>
    <s v="Office Chair"/>
    <s v="Laura"/>
    <n v="15"/>
    <n v="230"/>
    <n v="0.11"/>
    <x v="13"/>
  </r>
  <r>
    <x v="14"/>
    <s v="White Board"/>
    <s v="Mark"/>
    <n v="8"/>
    <n v="40"/>
    <n v="0.09"/>
    <x v="60"/>
  </r>
  <r>
    <x v="14"/>
    <s v="White Board"/>
    <s v="John"/>
    <n v="5"/>
    <n v="40"/>
    <n v="0.06"/>
    <x v="70"/>
  </r>
  <r>
    <x v="14"/>
    <s v="Printer"/>
    <s v="Bob"/>
    <n v="6"/>
    <n v="80"/>
    <n v="0.09"/>
    <x v="0"/>
  </r>
  <r>
    <x v="14"/>
    <s v="White Board"/>
    <s v="Stacey"/>
    <n v="22"/>
    <n v="40"/>
    <n v="0.01"/>
    <x v="17"/>
  </r>
  <r>
    <x v="14"/>
    <s v="Diary"/>
    <s v="John"/>
    <n v="7"/>
    <n v="16"/>
    <n v="0.08"/>
    <x v="25"/>
  </r>
  <r>
    <x v="14"/>
    <s v="Projector"/>
    <s v="Laura"/>
    <n v="22"/>
    <n v="150"/>
    <n v="0.04"/>
    <x v="41"/>
  </r>
  <r>
    <x v="14"/>
    <s v="Diary"/>
    <s v="Stacey"/>
    <n v="15"/>
    <n v="16"/>
    <n v="0.12"/>
    <x v="71"/>
  </r>
  <r>
    <x v="14"/>
    <s v="Printer"/>
    <s v="Laura"/>
    <n v="20"/>
    <n v="80"/>
    <n v="7.0000000000000007E-2"/>
    <x v="16"/>
  </r>
  <r>
    <x v="14"/>
    <s v="Printer"/>
    <s v="Laura"/>
    <n v="7"/>
    <n v="80"/>
    <n v="0.05"/>
    <x v="1"/>
  </r>
  <r>
    <x v="14"/>
    <s v="Printer"/>
    <s v="Mark"/>
    <n v="10"/>
    <n v="80"/>
    <n v="0.11"/>
    <x v="20"/>
  </r>
  <r>
    <x v="14"/>
    <s v="Printer"/>
    <s v="Mark"/>
    <n v="2"/>
    <n v="80"/>
    <n v="7.0000000000000007E-2"/>
    <x v="31"/>
  </r>
  <r>
    <x v="14"/>
    <s v="Diary"/>
    <s v="Bob"/>
    <n v="23"/>
    <n v="16"/>
    <n v="0.01"/>
    <x v="35"/>
  </r>
  <r>
    <x v="14"/>
    <s v="Office Chair"/>
    <s v="Mark"/>
    <n v="12"/>
    <n v="230"/>
    <n v="0.03"/>
    <x v="4"/>
  </r>
  <r>
    <x v="15"/>
    <s v="Office Chair"/>
    <s v="John"/>
    <n v="7"/>
    <n v="230"/>
    <n v="0.08"/>
    <x v="10"/>
  </r>
  <r>
    <x v="15"/>
    <s v="White Board"/>
    <s v="Stacey"/>
    <n v="11"/>
    <n v="40"/>
    <n v="0.06"/>
    <x v="49"/>
  </r>
  <r>
    <x v="15"/>
    <s v="Office Chair"/>
    <s v="Mark"/>
    <n v="7"/>
    <n v="230"/>
    <n v="0.08"/>
    <x v="10"/>
  </r>
  <r>
    <x v="15"/>
    <s v="Printer"/>
    <s v="John"/>
    <n v="8"/>
    <n v="80"/>
    <n v="0.09"/>
    <x v="12"/>
  </r>
  <r>
    <x v="15"/>
    <s v="Printer"/>
    <s v="Stacey"/>
    <n v="16"/>
    <n v="80"/>
    <n v="7.0000000000000007E-2"/>
    <x v="19"/>
  </r>
  <r>
    <x v="15"/>
    <s v="Printer"/>
    <s v="Laura"/>
    <n v="16"/>
    <n v="80"/>
    <n v="0.04"/>
    <x v="19"/>
  </r>
  <r>
    <x v="15"/>
    <s v="Diary"/>
    <s v="Laura"/>
    <n v="9"/>
    <n v="16"/>
    <n v="0.05"/>
    <x v="72"/>
  </r>
  <r>
    <x v="15"/>
    <s v="Projector"/>
    <s v="Bob"/>
    <n v="11"/>
    <n v="150"/>
    <n v="0.09"/>
    <x v="45"/>
  </r>
  <r>
    <x v="15"/>
    <s v="Diary"/>
    <s v="John"/>
    <n v="4"/>
    <n v="16"/>
    <n v="0.12"/>
    <x v="50"/>
  </r>
  <r>
    <x v="15"/>
    <s v="White Board"/>
    <s v="Stacey"/>
    <n v="15"/>
    <n v="40"/>
    <n v="0.03"/>
    <x v="39"/>
  </r>
  <r>
    <x v="15"/>
    <s v="White Board"/>
    <s v="Bob"/>
    <n v="20"/>
    <n v="40"/>
    <n v="0.03"/>
    <x v="20"/>
  </r>
  <r>
    <x v="16"/>
    <s v="Projector"/>
    <s v="Laura"/>
    <n v="9"/>
    <n v="150"/>
    <n v="0.06"/>
    <x v="46"/>
  </r>
  <r>
    <x v="16"/>
    <s v="White Board"/>
    <s v="Mark"/>
    <n v="23"/>
    <n v="40"/>
    <n v="0.06"/>
    <x v="15"/>
  </r>
  <r>
    <x v="16"/>
    <s v="Printer"/>
    <s v="Bob"/>
    <n v="13"/>
    <n v="80"/>
    <n v="0.05"/>
    <x v="73"/>
  </r>
  <r>
    <x v="16"/>
    <s v="Diary"/>
    <s v="John"/>
    <n v="22"/>
    <n v="16"/>
    <n v="0.01"/>
    <x v="14"/>
  </r>
  <r>
    <x v="16"/>
    <s v="White Board"/>
    <s v="John"/>
    <n v="19"/>
    <n v="40"/>
    <n v="0.04"/>
    <x v="52"/>
  </r>
  <r>
    <x v="16"/>
    <s v="Printer"/>
    <s v="Stacey"/>
    <n v="4"/>
    <n v="80"/>
    <n v="0.11"/>
    <x v="60"/>
  </r>
  <r>
    <x v="16"/>
    <s v="Diary"/>
    <s v="John"/>
    <n v="12"/>
    <n v="16"/>
    <n v="0.11"/>
    <x v="21"/>
  </r>
  <r>
    <x v="16"/>
    <s v="Projector"/>
    <s v="Mark"/>
    <n v="16"/>
    <n v="150"/>
    <n v="0.08"/>
    <x v="28"/>
  </r>
  <r>
    <x v="16"/>
    <s v="Printer"/>
    <s v="John"/>
    <n v="7"/>
    <n v="80"/>
    <n v="0.02"/>
    <x v="1"/>
  </r>
  <r>
    <x v="16"/>
    <s v="White Board"/>
    <s v="Bob"/>
    <n v="20"/>
    <n v="40"/>
    <n v="7.0000000000000007E-2"/>
    <x v="20"/>
  </r>
  <r>
    <x v="16"/>
    <s v="Printer"/>
    <s v="Mark"/>
    <n v="15"/>
    <n v="80"/>
    <n v="0.12"/>
    <x v="74"/>
  </r>
  <r>
    <x v="16"/>
    <s v="White Board"/>
    <s v="John"/>
    <n v="5"/>
    <n v="40"/>
    <n v="0.09"/>
    <x v="70"/>
  </r>
  <r>
    <x v="16"/>
    <s v="Diary"/>
    <s v="Bob"/>
    <n v="12"/>
    <n v="16"/>
    <n v="0.04"/>
    <x v="21"/>
  </r>
  <r>
    <x v="17"/>
    <s v="Projector"/>
    <s v="Stacey"/>
    <n v="3"/>
    <n v="150"/>
    <n v="0.01"/>
    <x v="75"/>
  </r>
  <r>
    <x v="17"/>
    <s v="White Board"/>
    <s v="Bob"/>
    <n v="7"/>
    <n v="40"/>
    <n v="0.12"/>
    <x v="69"/>
  </r>
  <r>
    <x v="17"/>
    <s v="Printer"/>
    <s v="Mark"/>
    <n v="2"/>
    <n v="80"/>
    <n v="0.04"/>
    <x v="31"/>
  </r>
  <r>
    <x v="17"/>
    <s v="White Board"/>
    <s v="Stacey"/>
    <n v="6"/>
    <n v="40"/>
    <n v="7.0000000000000007E-2"/>
    <x v="71"/>
  </r>
  <r>
    <x v="17"/>
    <s v="Diary"/>
    <s v="Laura"/>
    <n v="6"/>
    <n v="16"/>
    <n v="0.06"/>
    <x v="67"/>
  </r>
  <r>
    <x v="17"/>
    <s v="Diary"/>
    <s v="John"/>
    <n v="7"/>
    <n v="16"/>
    <n v="0.02"/>
    <x v="25"/>
  </r>
  <r>
    <x v="17"/>
    <s v="Diary"/>
    <s v="Mark"/>
    <n v="20"/>
    <n v="16"/>
    <n v="0.06"/>
    <x v="60"/>
  </r>
  <r>
    <x v="17"/>
    <s v="Diary"/>
    <s v="Mark"/>
    <n v="21"/>
    <n v="16"/>
    <n v="0.02"/>
    <x v="9"/>
  </r>
  <r>
    <x v="17"/>
    <s v="Printer"/>
    <s v="Stacey"/>
    <n v="21"/>
    <n v="80"/>
    <n v="0.05"/>
    <x v="40"/>
  </r>
  <r>
    <x v="17"/>
    <s v="Diary"/>
    <s v="Stacey"/>
    <n v="10"/>
    <n v="16"/>
    <n v="0.01"/>
    <x v="31"/>
  </r>
  <r>
    <x v="18"/>
    <s v="Office Chair"/>
    <s v="Stacey"/>
    <n v="2"/>
    <n v="230"/>
    <n v="0.09"/>
    <x v="56"/>
  </r>
  <r>
    <x v="18"/>
    <s v="Projector"/>
    <s v="John"/>
    <n v="20"/>
    <n v="150"/>
    <n v="0.03"/>
    <x v="8"/>
  </r>
  <r>
    <x v="18"/>
    <s v="White Board"/>
    <s v="John"/>
    <n v="23"/>
    <n v="40"/>
    <n v="0.03"/>
    <x v="15"/>
  </r>
  <r>
    <x v="18"/>
    <s v="Printer"/>
    <s v="Stacey"/>
    <n v="17"/>
    <n v="80"/>
    <n v="0.05"/>
    <x v="29"/>
  </r>
  <r>
    <x v="18"/>
    <s v="Office Chair"/>
    <s v="Stacey"/>
    <n v="11"/>
    <n v="230"/>
    <n v="0.12"/>
    <x v="76"/>
  </r>
  <r>
    <x v="18"/>
    <s v="Projector"/>
    <s v="Mark"/>
    <n v="10"/>
    <n v="150"/>
    <n v="0.01"/>
    <x v="77"/>
  </r>
  <r>
    <x v="18"/>
    <s v="Printer"/>
    <s v="Mark"/>
    <n v="17"/>
    <n v="80"/>
    <n v="0.03"/>
    <x v="29"/>
  </r>
  <r>
    <x v="19"/>
    <s v="Office Chair"/>
    <s v="John"/>
    <n v="9"/>
    <n v="230"/>
    <n v="7.0000000000000007E-2"/>
    <x v="68"/>
  </r>
  <r>
    <x v="19"/>
    <s v="Office Chair"/>
    <s v="John"/>
    <n v="11"/>
    <n v="230"/>
    <n v="0.02"/>
    <x v="76"/>
  </r>
  <r>
    <x v="19"/>
    <s v="White Board"/>
    <s v="Laura"/>
    <n v="2"/>
    <n v="40"/>
    <n v="0.02"/>
    <x v="64"/>
  </r>
  <r>
    <x v="19"/>
    <s v="Office Chair"/>
    <s v="Bob"/>
    <n v="3"/>
    <n v="230"/>
    <n v="0.1"/>
    <x v="33"/>
  </r>
  <r>
    <x v="19"/>
    <s v="White Board"/>
    <s v="Bob"/>
    <n v="7"/>
    <n v="40"/>
    <n v="0.05"/>
    <x v="69"/>
  </r>
  <r>
    <x v="19"/>
    <s v="Projector"/>
    <s v="Mark"/>
    <n v="20"/>
    <n v="150"/>
    <n v="0.09"/>
    <x v="8"/>
  </r>
  <r>
    <x v="19"/>
    <s v="White Board"/>
    <s v="Laura"/>
    <n v="4"/>
    <n v="40"/>
    <n v="0.11"/>
    <x v="31"/>
  </r>
  <r>
    <x v="20"/>
    <s v="Office Chair"/>
    <s v="Laura"/>
    <n v="2"/>
    <n v="230"/>
    <n v="0.09"/>
    <x v="56"/>
  </r>
  <r>
    <x v="20"/>
    <s v="White Board"/>
    <s v="Mark"/>
    <n v="7"/>
    <n v="40"/>
    <n v="0.01"/>
    <x v="69"/>
  </r>
  <r>
    <x v="20"/>
    <s v="White Board"/>
    <s v="John"/>
    <n v="2"/>
    <n v="40"/>
    <n v="0.12"/>
    <x v="64"/>
  </r>
  <r>
    <x v="20"/>
    <s v="Printer"/>
    <s v="Mark"/>
    <n v="3"/>
    <n v="80"/>
    <n v="0.02"/>
    <x v="71"/>
  </r>
  <r>
    <x v="20"/>
    <s v="Diary"/>
    <s v="John"/>
    <n v="18"/>
    <n v="16"/>
    <n v="0.11"/>
    <x v="53"/>
  </r>
  <r>
    <x v="20"/>
    <s v="Printer"/>
    <s v="Mark"/>
    <n v="5"/>
    <n v="80"/>
    <n v="7.0000000000000007E-2"/>
    <x v="65"/>
  </r>
  <r>
    <x v="20"/>
    <s v="Diary"/>
    <s v="Laura"/>
    <n v="3"/>
    <n v="16"/>
    <n v="0.05"/>
    <x v="78"/>
  </r>
  <r>
    <x v="20"/>
    <s v="Printer"/>
    <s v="Stacey"/>
    <n v="7"/>
    <n v="80"/>
    <n v="0.02"/>
    <x v="1"/>
  </r>
  <r>
    <x v="20"/>
    <s v="Projector"/>
    <s v="Stacey"/>
    <n v="15"/>
    <n v="150"/>
    <n v="0.08"/>
    <x v="37"/>
  </r>
  <r>
    <x v="20"/>
    <s v="Printer"/>
    <s v="Laura"/>
    <n v="10"/>
    <n v="80"/>
    <n v="0.11"/>
    <x v="20"/>
  </r>
  <r>
    <x v="20"/>
    <s v="Office Chair"/>
    <s v="Bob"/>
    <n v="13"/>
    <n v="230"/>
    <n v="0.06"/>
    <x v="79"/>
  </r>
  <r>
    <x v="20"/>
    <s v="White Board"/>
    <s v="John"/>
    <n v="7"/>
    <n v="40"/>
    <n v="0.1"/>
    <x v="69"/>
  </r>
  <r>
    <x v="20"/>
    <s v="Diary"/>
    <s v="Laura"/>
    <n v="6"/>
    <n v="16"/>
    <n v="0.01"/>
    <x v="67"/>
  </r>
  <r>
    <x v="21"/>
    <s v="White Board"/>
    <s v="Laura"/>
    <n v="11"/>
    <n v="40"/>
    <n v="0.05"/>
    <x v="49"/>
  </r>
  <r>
    <x v="21"/>
    <s v="Printer"/>
    <s v="Stacey"/>
    <n v="8"/>
    <n v="80"/>
    <n v="0.06"/>
    <x v="12"/>
  </r>
  <r>
    <x v="21"/>
    <s v="Printer"/>
    <s v="John"/>
    <n v="9"/>
    <n v="80"/>
    <n v="0.04"/>
    <x v="11"/>
  </r>
  <r>
    <x v="21"/>
    <s v="White Board"/>
    <s v="Bob"/>
    <n v="4"/>
    <n v="40"/>
    <n v="0.09"/>
    <x v="31"/>
  </r>
  <r>
    <x v="21"/>
    <s v="Printer"/>
    <s v="Mark"/>
    <n v="13"/>
    <n v="80"/>
    <n v="0.06"/>
    <x v="73"/>
  </r>
  <r>
    <x v="21"/>
    <s v="Projector"/>
    <s v="Bob"/>
    <n v="4"/>
    <n v="150"/>
    <n v="0.05"/>
    <x v="39"/>
  </r>
  <r>
    <x v="21"/>
    <s v="Office Chair"/>
    <s v="Laura"/>
    <n v="14"/>
    <n v="230"/>
    <n v="0.12"/>
    <x v="80"/>
  </r>
  <r>
    <x v="21"/>
    <s v="Projector"/>
    <s v="Bob"/>
    <n v="13"/>
    <n v="150"/>
    <n v="0.11"/>
    <x v="34"/>
  </r>
  <r>
    <x v="21"/>
    <s v="Projector"/>
    <s v="Mark"/>
    <n v="16"/>
    <n v="150"/>
    <n v="0.03"/>
    <x v="28"/>
  </r>
  <r>
    <x v="21"/>
    <s v="Diary"/>
    <s v="John"/>
    <n v="7"/>
    <n v="16"/>
    <n v="0.12"/>
    <x v="25"/>
  </r>
  <r>
    <x v="21"/>
    <s v="Projector"/>
    <s v="Stacey"/>
    <n v="9"/>
    <n v="150"/>
    <n v="0.02"/>
    <x v="46"/>
  </r>
  <r>
    <x v="21"/>
    <s v="Diary"/>
    <s v="John"/>
    <n v="10"/>
    <n v="16"/>
    <n v="0.08"/>
    <x v="31"/>
  </r>
  <r>
    <x v="21"/>
    <s v="Printer"/>
    <s v="Stacey"/>
    <n v="15"/>
    <n v="80"/>
    <n v="0.08"/>
    <x v="74"/>
  </r>
  <r>
    <x v="21"/>
    <s v="Printer"/>
    <s v="Bob"/>
    <n v="9"/>
    <n v="80"/>
    <n v="0.06"/>
    <x v="11"/>
  </r>
  <r>
    <x v="22"/>
    <s v="Diary"/>
    <s v="Stacey"/>
    <n v="7"/>
    <n v="16"/>
    <n v="0.08"/>
    <x v="25"/>
  </r>
  <r>
    <x v="22"/>
    <s v="Projector"/>
    <s v="Bob"/>
    <n v="7"/>
    <n v="150"/>
    <n v="0.03"/>
    <x v="7"/>
  </r>
  <r>
    <x v="22"/>
    <s v="Office Chair"/>
    <s v="Stacey"/>
    <n v="16"/>
    <n v="230"/>
    <n v="0.11"/>
    <x v="81"/>
  </r>
  <r>
    <x v="22"/>
    <s v="Diary"/>
    <s v="Stacey"/>
    <n v="18"/>
    <n v="16"/>
    <n v="0.04"/>
    <x v="53"/>
  </r>
  <r>
    <x v="22"/>
    <s v="Office Chair"/>
    <s v="Bob"/>
    <n v="20"/>
    <n v="230"/>
    <n v="0.11"/>
    <x v="36"/>
  </r>
  <r>
    <x v="22"/>
    <s v="Projector"/>
    <s v="John"/>
    <n v="7"/>
    <n v="150"/>
    <n v="0.02"/>
    <x v="7"/>
  </r>
  <r>
    <x v="22"/>
    <s v="Diary"/>
    <s v="Laura"/>
    <n v="11"/>
    <n v="16"/>
    <n v="0.12"/>
    <x v="23"/>
  </r>
  <r>
    <x v="22"/>
    <s v="White Board"/>
    <s v="Laura"/>
    <n v="12"/>
    <n v="40"/>
    <n v="0.02"/>
    <x v="0"/>
  </r>
  <r>
    <x v="22"/>
    <s v="Projector"/>
    <s v="Bob"/>
    <n v="7"/>
    <n v="150"/>
    <n v="0.02"/>
    <x v="7"/>
  </r>
  <r>
    <x v="22"/>
    <s v="Printer"/>
    <s v="Laura"/>
    <n v="14"/>
    <n v="80"/>
    <n v="0.1"/>
    <x v="42"/>
  </r>
  <r>
    <x v="22"/>
    <s v="Office Chair"/>
    <s v="Laura"/>
    <n v="12"/>
    <n v="230"/>
    <n v="0.06"/>
    <x v="4"/>
  </r>
  <r>
    <x v="23"/>
    <s v="Printer"/>
    <s v="Mark"/>
    <n v="21"/>
    <n v="80"/>
    <n v="0.04"/>
    <x v="40"/>
  </r>
  <r>
    <x v="23"/>
    <s v="Projector"/>
    <s v="John"/>
    <n v="8"/>
    <n v="150"/>
    <n v="0.09"/>
    <x v="74"/>
  </r>
  <r>
    <x v="23"/>
    <s v="Printer"/>
    <s v="Mark"/>
    <n v="16"/>
    <n v="80"/>
    <n v="0.04"/>
    <x v="19"/>
  </r>
  <r>
    <x v="23"/>
    <s v="Office Chair"/>
    <s v="Mark"/>
    <n v="14"/>
    <n v="230"/>
    <n v="0.05"/>
    <x v="80"/>
  </r>
  <r>
    <x v="23"/>
    <s v="White Board"/>
    <s v="Laura"/>
    <n v="2"/>
    <n v="40"/>
    <n v="0.03"/>
    <x v="64"/>
  </r>
  <r>
    <x v="23"/>
    <s v="Projector"/>
    <s v="John"/>
    <n v="4"/>
    <n v="150"/>
    <n v="0.1"/>
    <x v="39"/>
  </r>
  <r>
    <x v="23"/>
    <s v="Printer"/>
    <s v="Laura"/>
    <n v="6"/>
    <n v="80"/>
    <n v="0.01"/>
    <x v="0"/>
  </r>
  <r>
    <x v="23"/>
    <s v="White Board"/>
    <s v="Laura"/>
    <n v="6"/>
    <n v="40"/>
    <n v="0.06"/>
    <x v="71"/>
  </r>
  <r>
    <x v="23"/>
    <s v="Projector"/>
    <s v="John"/>
    <n v="20"/>
    <n v="150"/>
    <n v="0.04"/>
    <x v="8"/>
  </r>
  <r>
    <x v="23"/>
    <s v="White Board"/>
    <s v="Laura"/>
    <n v="18"/>
    <n v="40"/>
    <n v="0.03"/>
    <x v="11"/>
  </r>
  <r>
    <x v="23"/>
    <s v="Office Chair"/>
    <s v="Stacey"/>
    <n v="18"/>
    <n v="230"/>
    <n v="0.01"/>
    <x v="82"/>
  </r>
  <r>
    <x v="23"/>
    <s v="Office Chair"/>
    <s v="Laura"/>
    <n v="15"/>
    <n v="230"/>
    <n v="0.04"/>
    <x v="13"/>
  </r>
  <r>
    <x v="23"/>
    <s v="Diary"/>
    <s v="Mark"/>
    <n v="22"/>
    <n v="16"/>
    <n v="0.01"/>
    <x v="14"/>
  </r>
  <r>
    <x v="23"/>
    <s v="Projector"/>
    <s v="John"/>
    <n v="17"/>
    <n v="150"/>
    <n v="0.12"/>
    <x v="55"/>
  </r>
  <r>
    <x v="24"/>
    <s v="Diary"/>
    <s v="Mark"/>
    <n v="5"/>
    <n v="16"/>
    <n v="0.11"/>
    <x v="64"/>
  </r>
  <r>
    <x v="24"/>
    <s v="Projector"/>
    <s v="John"/>
    <n v="23"/>
    <n v="150"/>
    <n v="0.1"/>
    <x v="13"/>
  </r>
  <r>
    <x v="24"/>
    <s v="Projector"/>
    <s v="Stacey"/>
    <n v="22"/>
    <n v="150"/>
    <n v="0.05"/>
    <x v="41"/>
  </r>
  <r>
    <x v="24"/>
    <s v="Diary"/>
    <s v="Bob"/>
    <n v="15"/>
    <n v="16"/>
    <n v="0.01"/>
    <x v="71"/>
  </r>
  <r>
    <x v="24"/>
    <s v="White Board"/>
    <s v="Stacey"/>
    <n v="7"/>
    <n v="40"/>
    <n v="7.0000000000000007E-2"/>
    <x v="69"/>
  </r>
  <r>
    <x v="24"/>
    <s v="Printer"/>
    <s v="Bob"/>
    <n v="22"/>
    <n v="80"/>
    <n v="0.11"/>
    <x v="24"/>
  </r>
  <r>
    <x v="24"/>
    <s v="Projector"/>
    <s v="Laura"/>
    <n v="11"/>
    <n v="150"/>
    <n v="0.05"/>
    <x v="45"/>
  </r>
  <r>
    <x v="24"/>
    <s v="White Board"/>
    <s v="Mark"/>
    <n v="21"/>
    <n v="40"/>
    <n v="0.03"/>
    <x v="54"/>
  </r>
  <r>
    <x v="24"/>
    <s v="Printer"/>
    <s v="Stacey"/>
    <n v="23"/>
    <n v="80"/>
    <n v="0.11"/>
    <x v="3"/>
  </r>
  <r>
    <x v="24"/>
    <s v="Office Chair"/>
    <s v="Laura"/>
    <n v="7"/>
    <n v="230"/>
    <n v="0.01"/>
    <x v="10"/>
  </r>
  <r>
    <x v="24"/>
    <s v="Office Chair"/>
    <s v="John"/>
    <n v="16"/>
    <n v="230"/>
    <n v="7.0000000000000007E-2"/>
    <x v="81"/>
  </r>
  <r>
    <x v="24"/>
    <s v="Printer"/>
    <s v="Mark"/>
    <n v="14"/>
    <n v="80"/>
    <n v="0.11"/>
    <x v="42"/>
  </r>
  <r>
    <x v="24"/>
    <s v="Projector"/>
    <s v="Laura"/>
    <n v="22"/>
    <n v="150"/>
    <n v="0.09"/>
    <x v="41"/>
  </r>
  <r>
    <x v="24"/>
    <s v="Projector"/>
    <s v="Stacey"/>
    <n v="4"/>
    <n v="150"/>
    <n v="0.12"/>
    <x v="39"/>
  </r>
  <r>
    <x v="24"/>
    <s v="Projector"/>
    <s v="John"/>
    <n v="3"/>
    <n v="150"/>
    <n v="0.03"/>
    <x v="75"/>
  </r>
  <r>
    <x v="24"/>
    <s v="White Board"/>
    <s v="Bob"/>
    <n v="17"/>
    <n v="40"/>
    <n v="0.02"/>
    <x v="83"/>
  </r>
  <r>
    <x v="24"/>
    <s v="Printer"/>
    <s v="Bob"/>
    <n v="22"/>
    <n v="80"/>
    <n v="0.1"/>
    <x v="24"/>
  </r>
  <r>
    <x v="24"/>
    <s v="Projector"/>
    <s v="Bob"/>
    <n v="18"/>
    <n v="150"/>
    <n v="0.12"/>
    <x v="44"/>
  </r>
  <r>
    <x v="25"/>
    <s v="Projector"/>
    <s v="John"/>
    <n v="4"/>
    <n v="150"/>
    <n v="0.06"/>
    <x v="39"/>
  </r>
  <r>
    <x v="25"/>
    <s v="Office Chair"/>
    <s v="Mark"/>
    <n v="22"/>
    <n v="230"/>
    <n v="0.04"/>
    <x v="2"/>
  </r>
  <r>
    <x v="25"/>
    <s v="Projector"/>
    <s v="Mark"/>
    <n v="15"/>
    <n v="150"/>
    <n v="0.12"/>
    <x v="37"/>
  </r>
  <r>
    <x v="25"/>
    <s v="Printer"/>
    <s v="John"/>
    <n v="17"/>
    <n v="80"/>
    <n v="7.0000000000000007E-2"/>
    <x v="29"/>
  </r>
  <r>
    <x v="25"/>
    <s v="White Board"/>
    <s v="Bob"/>
    <n v="10"/>
    <n v="40"/>
    <n v="0.03"/>
    <x v="65"/>
  </r>
  <r>
    <x v="25"/>
    <s v="White Board"/>
    <s v="John"/>
    <n v="23"/>
    <n v="40"/>
    <n v="7.0000000000000007E-2"/>
    <x v="15"/>
  </r>
  <r>
    <x v="25"/>
    <s v="Diary"/>
    <s v="Mark"/>
    <n v="22"/>
    <n v="16"/>
    <n v="0.04"/>
    <x v="14"/>
  </r>
  <r>
    <x v="25"/>
    <s v="Printer"/>
    <s v="Laura"/>
    <n v="8"/>
    <n v="80"/>
    <n v="0.02"/>
    <x v="12"/>
  </r>
  <r>
    <x v="25"/>
    <s v="Diary"/>
    <s v="Mark"/>
    <n v="4"/>
    <n v="16"/>
    <n v="0.09"/>
    <x v="50"/>
  </r>
  <r>
    <x v="25"/>
    <s v="White Board"/>
    <s v="Stacey"/>
    <n v="11"/>
    <n v="40"/>
    <n v="0.09"/>
    <x v="49"/>
  </r>
  <r>
    <x v="25"/>
    <s v="Office Chair"/>
    <s v="Laura"/>
    <n v="18"/>
    <n v="230"/>
    <n v="0.01"/>
    <x v="82"/>
  </r>
  <r>
    <x v="26"/>
    <s v="Office Chair"/>
    <s v="Mark"/>
    <n v="11"/>
    <n v="230"/>
    <n v="0.1"/>
    <x v="76"/>
  </r>
  <r>
    <x v="26"/>
    <s v="Office Chair"/>
    <s v="John"/>
    <n v="15"/>
    <n v="230"/>
    <n v="0.05"/>
    <x v="13"/>
  </r>
  <r>
    <x v="26"/>
    <s v="White Board"/>
    <s v="Bob"/>
    <n v="7"/>
    <n v="40"/>
    <n v="0.04"/>
    <x v="69"/>
  </r>
  <r>
    <x v="26"/>
    <s v="Projector"/>
    <s v="Laura"/>
    <n v="20"/>
    <n v="150"/>
    <n v="0.12"/>
    <x v="8"/>
  </r>
  <r>
    <x v="26"/>
    <s v="Printer"/>
    <s v="Laura"/>
    <n v="5"/>
    <n v="80"/>
    <n v="0.09"/>
    <x v="65"/>
  </r>
  <r>
    <x v="26"/>
    <s v="Printer"/>
    <s v="Stacey"/>
    <n v="14"/>
    <n v="80"/>
    <n v="0.05"/>
    <x v="42"/>
  </r>
  <r>
    <x v="26"/>
    <s v="Office Chair"/>
    <s v="Stacey"/>
    <n v="7"/>
    <n v="230"/>
    <n v="0.06"/>
    <x v="10"/>
  </r>
  <r>
    <x v="26"/>
    <s v="White Board"/>
    <s v="Stacey"/>
    <n v="13"/>
    <n v="40"/>
    <n v="0.06"/>
    <x v="26"/>
  </r>
  <r>
    <x v="27"/>
    <s v="Diary"/>
    <s v="Mark"/>
    <n v="15"/>
    <n v="16"/>
    <n v="0.02"/>
    <x v="71"/>
  </r>
  <r>
    <x v="27"/>
    <s v="Diary"/>
    <s v="Stacey"/>
    <n v="5"/>
    <n v="16"/>
    <n v="0.09"/>
    <x v="64"/>
  </r>
  <r>
    <x v="27"/>
    <s v="Diary"/>
    <s v="John"/>
    <n v="22"/>
    <n v="16"/>
    <n v="0.06"/>
    <x v="14"/>
  </r>
  <r>
    <x v="27"/>
    <s v="Projector"/>
    <s v="Laura"/>
    <n v="15"/>
    <n v="150"/>
    <n v="0.05"/>
    <x v="37"/>
  </r>
  <r>
    <x v="27"/>
    <s v="Office Chair"/>
    <s v="Laura"/>
    <n v="5"/>
    <n v="230"/>
    <n v="0.01"/>
    <x v="61"/>
  </r>
  <r>
    <x v="27"/>
    <s v="White Board"/>
    <s v="John"/>
    <n v="11"/>
    <n v="40"/>
    <n v="0.04"/>
    <x v="49"/>
  </r>
  <r>
    <x v="27"/>
    <s v="Projector"/>
    <s v="Mark"/>
    <n v="13"/>
    <n v="150"/>
    <n v="0.08"/>
    <x v="34"/>
  </r>
  <r>
    <x v="27"/>
    <s v="Diary"/>
    <s v="Bob"/>
    <n v="13"/>
    <n v="16"/>
    <n v="7.0000000000000007E-2"/>
    <x v="84"/>
  </r>
  <r>
    <x v="27"/>
    <s v="Diary"/>
    <s v="Bob"/>
    <n v="3"/>
    <n v="16"/>
    <n v="0.03"/>
    <x v="78"/>
  </r>
  <r>
    <x v="28"/>
    <s v="Projector"/>
    <s v="Mark"/>
    <n v="2"/>
    <n v="150"/>
    <n v="0.09"/>
    <x v="63"/>
  </r>
  <r>
    <x v="28"/>
    <s v="Office Chair"/>
    <s v="Laura"/>
    <n v="14"/>
    <n v="230"/>
    <n v="0.03"/>
    <x v="80"/>
  </r>
  <r>
    <x v="28"/>
    <s v="White Board"/>
    <s v="Laura"/>
    <n v="11"/>
    <n v="40"/>
    <n v="0.12"/>
    <x v="49"/>
  </r>
  <r>
    <x v="28"/>
    <s v="Diary"/>
    <s v="Bob"/>
    <n v="3"/>
    <n v="16"/>
    <n v="0.06"/>
    <x v="78"/>
  </r>
  <r>
    <x v="28"/>
    <s v="White Board"/>
    <s v="Bob"/>
    <n v="18"/>
    <n v="40"/>
    <n v="0.06"/>
    <x v="11"/>
  </r>
  <r>
    <x v="28"/>
    <s v="Office Chair"/>
    <s v="Bob"/>
    <n v="7"/>
    <n v="230"/>
    <n v="0.05"/>
    <x v="10"/>
  </r>
  <r>
    <x v="28"/>
    <s v="White Board"/>
    <s v="Bob"/>
    <n v="23"/>
    <n v="40"/>
    <n v="0.05"/>
    <x v="15"/>
  </r>
  <r>
    <x v="29"/>
    <s v="Office Chair"/>
    <s v="Bob"/>
    <n v="2"/>
    <n v="230"/>
    <n v="0.08"/>
    <x v="56"/>
  </r>
  <r>
    <x v="29"/>
    <s v="White Board"/>
    <s v="Stacey"/>
    <n v="18"/>
    <n v="40"/>
    <n v="0.04"/>
    <x v="11"/>
  </r>
  <r>
    <x v="29"/>
    <s v="Office Chair"/>
    <s v="Mark"/>
    <n v="7"/>
    <n v="230"/>
    <n v="0.05"/>
    <x v="10"/>
  </r>
  <r>
    <x v="29"/>
    <s v="White Board"/>
    <s v="Bob"/>
    <n v="14"/>
    <n v="40"/>
    <n v="0.11"/>
    <x v="1"/>
  </r>
  <r>
    <x v="29"/>
    <s v="Projector"/>
    <s v="Mark"/>
    <n v="13"/>
    <n v="150"/>
    <n v="0.02"/>
    <x v="34"/>
  </r>
  <r>
    <x v="29"/>
    <s v="Printer"/>
    <s v="John"/>
    <n v="12"/>
    <n v="80"/>
    <n v="0.04"/>
    <x v="85"/>
  </r>
  <r>
    <x v="29"/>
    <s v="Office Chair"/>
    <s v="Bob"/>
    <n v="20"/>
    <n v="230"/>
    <n v="0.09"/>
    <x v="36"/>
  </r>
  <r>
    <x v="29"/>
    <s v="White Board"/>
    <s v="Bob"/>
    <n v="5"/>
    <n v="40"/>
    <n v="0.03"/>
    <x v="70"/>
  </r>
  <r>
    <x v="29"/>
    <s v="Diary"/>
    <s v="Bob"/>
    <n v="2"/>
    <n v="16"/>
    <n v="0.04"/>
    <x v="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EBBDD6-448F-4A35-AC64-6D4E42D466FC}" name="PivotTable2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4">
  <location ref="A3:B11" firstHeaderRow="1" firstDataRow="1" firstDataCol="1"/>
  <pivotFields count="7">
    <pivotField axis="axisRow"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Sales" fld="6" baseField="0" baseItem="0" numFmtId="44"/>
  </dataFields>
  <formats count="2">
    <format dxfId="14">
      <pivotArea collapsedLevelsAreSubtotals="1" fieldPosition="0">
        <references count="1">
          <reference field="0" count="0"/>
        </references>
      </pivotArea>
    </format>
    <format dxfId="13">
      <pivotArea outline="0" collapsedLevelsAreSubtotals="1" fieldPosition="0"/>
    </format>
  </formats>
  <chartFormats count="9">
    <chartFormat chart="4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88" name="Date">
      <autoFilter ref="A1">
        <filterColumn colId="0">
          <customFilters and="1">
            <customFilter operator="greaterThanOrEqual" val="43282"/>
            <customFilter operator="lessThanOrEqual" val="4328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E7FDA0-9277-4FFD-9EB8-58FE9672C7E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2:I64" firstHeaderRow="1" firstDataRow="2" firstDataCol="1"/>
  <pivotFields count="7">
    <pivotField axis="axisCol"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6">
        <item x="3"/>
        <item x="2"/>
        <item x="0"/>
        <item x="4"/>
        <item x="1"/>
        <item t="default"/>
      </items>
    </pivotField>
    <pivotField axis="axisRow"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showAll="0"/>
    <pivotField dataField="1" showAll="0"/>
  </pivotFields>
  <rowFields count="2">
    <field x="2"/>
    <field x="1"/>
  </rowFields>
  <rowItems count="31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Total Sales" fld="6" baseField="0" baseItem="0" numFmtId="44"/>
  </dataFields>
  <formats count="1"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9961D4-5B76-49FF-BD09-78812B5EB0B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24:B30" firstHeaderRow="1" firstDataRow="1" firstDataCol="1"/>
  <pivotFields count="7">
    <pivotField numFmtId="14" showAll="0"/>
    <pivotField axis="axisRow" showAll="0">
      <items count="6">
        <item x="3"/>
        <item x="2"/>
        <item x="0"/>
        <item x="4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6" showDataAs="percentOfTotal" baseField="0" baseItem="0" numFmtId="10"/>
  </dataFields>
  <chartFormats count="6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408BAF-8084-402D-BA94-26548822B27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A13:G22" firstHeaderRow="1" firstDataRow="2" firstDataCol="1"/>
  <pivotFields count="7">
    <pivotField axis="axisRow"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axis="axisCol"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Sales" fld="6" baseField="0" baseItem="0"/>
  </dataFields>
  <formats count="2">
    <format dxfId="17">
      <pivotArea collapsedLevelsAreSubtotals="1" fieldPosition="0">
        <references count="1">
          <reference field="0" count="0"/>
        </references>
      </pivotArea>
    </format>
    <format dxfId="16">
      <pivotArea grandRow="1" outline="0" collapsedLevelsAreSubtotals="1" fieldPosition="0"/>
    </format>
  </formats>
  <chartFormats count="5">
    <chartFormat chart="31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1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1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1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1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A5120C-AEC0-4347-93B2-7FD071357952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4:M12" firstHeaderRow="1" firstDataRow="1" firstDataCol="1"/>
  <pivotFields count="7">
    <pivotField axis="axisRow"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showAll="0"/>
    <pivotField numFmtId="9" showAll="0"/>
    <pivotField dataField="1" numFmtId="164" showAll="0"/>
  </pivotFields>
  <rowFields count="1">
    <field x="0"/>
  </rowFields>
  <rowItems count="8"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Total Sales" fld="6" baseField="0" baseItem="0" numFmtId="164"/>
  </dataFields>
  <pivotTableStyleInfo name="PivotStyleLight16" showRowHeaders="1" showColHeaders="1" showRowStripes="0" showColStripes="0" showLastColumn="1"/>
  <filters count="1">
    <filter fld="0" type="dateBetween" evalOrder="-1" id="1">
      <autoFilter ref="A1">
        <filterColumn colId="0">
          <customFilters and="1">
            <customFilter operator="greaterThanOrEqual" val="43289"/>
            <customFilter operator="lessThanOrEqual" val="4329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0FB414-5FA1-48AC-B3AF-199EDB3F4234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4:J12" firstHeaderRow="1" firstDataRow="1" firstDataCol="1"/>
  <pivotFields count="7">
    <pivotField axis="axisRow" numFmtId="14" showAll="0" sortType="ascending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showAll="0"/>
    <pivotField numFmtId="9" showAll="0"/>
    <pivotField dataField="1" numFmtId="164" showAll="0">
      <items count="88">
        <item x="86"/>
        <item x="78"/>
        <item x="50"/>
        <item x="64"/>
        <item x="67"/>
        <item x="25"/>
        <item x="57"/>
        <item x="48"/>
        <item x="72"/>
        <item x="31"/>
        <item x="23"/>
        <item x="21"/>
        <item x="70"/>
        <item x="84"/>
        <item x="27"/>
        <item x="71"/>
        <item x="62"/>
        <item x="6"/>
        <item x="69"/>
        <item x="53"/>
        <item x="63"/>
        <item x="66"/>
        <item x="60"/>
        <item x="9"/>
        <item x="14"/>
        <item x="18"/>
        <item x="35"/>
        <item x="65"/>
        <item x="49"/>
        <item x="75"/>
        <item x="56"/>
        <item x="0"/>
        <item x="26"/>
        <item x="1"/>
        <item x="39"/>
        <item x="12"/>
        <item x="83"/>
        <item x="33"/>
        <item x="11"/>
        <item x="43"/>
        <item x="52"/>
        <item x="20"/>
        <item x="54"/>
        <item x="17"/>
        <item x="22"/>
        <item x="15"/>
        <item x="85"/>
        <item x="73"/>
        <item x="7"/>
        <item x="42"/>
        <item x="61"/>
        <item x="74"/>
        <item x="19"/>
        <item x="46"/>
        <item x="29"/>
        <item x="38"/>
        <item x="47"/>
        <item x="77"/>
        <item x="5"/>
        <item x="16"/>
        <item x="10"/>
        <item x="45"/>
        <item x="40"/>
        <item x="24"/>
        <item x="3"/>
        <item x="34"/>
        <item x="68"/>
        <item x="37"/>
        <item x="51"/>
        <item x="28"/>
        <item x="76"/>
        <item x="55"/>
        <item x="44"/>
        <item x="4"/>
        <item x="79"/>
        <item x="8"/>
        <item x="80"/>
        <item x="41"/>
        <item x="13"/>
        <item x="81"/>
        <item x="59"/>
        <item x="82"/>
        <item x="30"/>
        <item x="36"/>
        <item x="58"/>
        <item x="2"/>
        <item x="32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Sales" fld="6" baseField="0" baseItem="0" numFmtId="164"/>
  </dataFields>
  <pivotTableStyleInfo name="PivotStyleLight16" showRowHeaders="1" showColHeaders="1" showRowStripes="0" showColStripes="0" showLastColumn="1"/>
  <filters count="1">
    <filter fld="0" type="dateBetween" evalOrder="-1" id="2">
      <autoFilter ref="A1">
        <filterColumn colId="0">
          <customFilters and="1">
            <customFilter operator="greaterThanOrEqual" val="43282"/>
            <customFilter operator="lessThanOrEqual" val="43288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18D08F-960C-4FD3-99E2-52D06C6CCCC8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4:S14" firstHeaderRow="1" firstDataRow="1" firstDataCol="1"/>
  <pivotFields count="7">
    <pivotField axis="axisRow"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showAll="0"/>
    <pivotField numFmtId="9" showAll="0"/>
    <pivotField dataField="1" numFmtId="164" showAll="0"/>
  </pivotFields>
  <rowFields count="1">
    <field x="0"/>
  </rowFields>
  <rowItems count="10"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Total Sales" fld="6" baseField="0" baseItem="0" numFmtId="164"/>
  </dataFields>
  <pivotTableStyleInfo name="PivotStyleLight16" showRowHeaders="1" showColHeaders="1" showRowStripes="0" showColStripes="0" showLastColumn="1"/>
  <filters count="1">
    <filter fld="0" type="dateBetween" evalOrder="-1" id="1">
      <autoFilter ref="A1">
        <filterColumn colId="0">
          <customFilters and="1">
            <customFilter operator="greaterThanOrEqual" val="43303"/>
            <customFilter operator="lessThanOrEqual" val="4331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045AA7-96F7-442B-A139-DE2E1809A611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4:P12" firstHeaderRow="1" firstDataRow="1" firstDataCol="1"/>
  <pivotFields count="7">
    <pivotField axis="axisRow"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showAll="0"/>
    <pivotField numFmtId="9" showAll="0"/>
    <pivotField dataField="1" numFmtId="164" showAll="0"/>
  </pivotFields>
  <rowFields count="1">
    <field x="0"/>
  </rowFields>
  <rowItems count="8"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Total Sales" fld="6" baseField="0" baseItem="0" numFmtId="164"/>
  </dataFields>
  <pivotTableStyleInfo name="PivotStyleLight16" showRowHeaders="1" showColHeaders="1" showRowStripes="0" showColStripes="0" showLastColumn="1"/>
  <filters count="1">
    <filter fld="0" type="dateBetween" evalOrder="-1" id="1">
      <autoFilter ref="A1">
        <filterColumn colId="0">
          <customFilters and="1">
            <customFilter operator="greaterThanOrEqual" val="43296"/>
            <customFilter operator="lessThanOrEqual" val="4330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2EA52A-4682-4025-8017-FE959B36B3FD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Date" tableColumnId="1"/>
      <queryTableField id="2" name="Item" tableColumnId="2"/>
      <queryTableField id="3" name="Sales Rep" tableColumnId="3"/>
      <queryTableField id="4" name="Quantity" tableColumnId="4"/>
      <queryTableField id="5" name="Price" tableColumnId="5"/>
      <queryTableField id="6" name="Commission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3B02ED3-A7DB-48C7-819F-F57BE00065C1}" name="DataInTable_1" displayName="DataInTable_1" ref="A1:G77" tableType="queryTable" totalsRowShown="0">
  <autoFilter ref="A1:G77" xr:uid="{C3B02ED3-A7DB-48C7-819F-F57BE00065C1}"/>
  <tableColumns count="7">
    <tableColumn id="1" xr3:uid="{4ADBAB0F-27D2-4B26-8B95-E624CEA51A9E}" uniqueName="1" name="Date" queryTableFieldId="1" dataDxfId="12"/>
    <tableColumn id="2" xr3:uid="{01AC527B-CDEF-4389-8AE7-E1E674BA7FC4}" uniqueName="2" name="Item" queryTableFieldId="2" dataDxfId="11"/>
    <tableColumn id="3" xr3:uid="{D89D106D-33A7-4444-9279-FD39852B89D1}" uniqueName="3" name="Sales Rep" queryTableFieldId="3" dataDxfId="10"/>
    <tableColumn id="4" xr3:uid="{B47F13AA-9F1C-4FA3-A6BB-17B60567C195}" uniqueName="4" name="Quantity" queryTableFieldId="4"/>
    <tableColumn id="5" xr3:uid="{E30A328F-92B9-4605-89B7-5F60E3EFF963}" uniqueName="5" name="Price" queryTableFieldId="5"/>
    <tableColumn id="6" xr3:uid="{8FCE3896-7FF4-46A8-8774-C4CCE658C58C}" uniqueName="6" name="Commission" queryTableFieldId="6"/>
    <tableColumn id="7" xr3:uid="{A9F9B92D-429B-4D7C-9464-D23C96BB86FF}" uniqueName="7" name="Total Sales" queryTableFieldId="7" dataDxfId="9">
      <calculatedColumnFormula>DataInTable_1[[#This Row],[Quantity]]*DataInTable_1[[#This Row],[Price]]</calculatedColumnFormula>
    </tableColumn>
  </tableColumns>
  <tableStyleInfo name="TableStyleMedium2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InTable" displayName="DataInTable" ref="A4:G328" totalsRowShown="0">
  <autoFilter ref="A4:G328" xr:uid="{00000000-0009-0000-0100-000001000000}"/>
  <tableColumns count="7">
    <tableColumn id="1" xr3:uid="{00000000-0010-0000-0000-000001000000}" name="Date" dataDxfId="8"/>
    <tableColumn id="2" xr3:uid="{00000000-0010-0000-0000-000002000000}" name="Item"/>
    <tableColumn id="3" xr3:uid="{00000000-0010-0000-0000-000003000000}" name="Sales Rep"/>
    <tableColumn id="4" xr3:uid="{00000000-0010-0000-0000-000004000000}" name="Quantity"/>
    <tableColumn id="5" xr3:uid="{00000000-0010-0000-0000-000005000000}" name="Price"/>
    <tableColumn id="6" xr3:uid="{00000000-0010-0000-0000-000006000000}" name="Commission" dataDxfId="7"/>
    <tableColumn id="7" xr3:uid="{23B9321A-FEA8-4E89-8AC7-F535A603B226}" name="Total Sales" dataDxfId="6" dataCellStyle="Currency">
      <calculatedColumnFormula>DataInTable[[#This Row],[Quantity]]*DataInTable[[#This Row],[Price]]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DataInTable5" displayName="DataInTable5" ref="A4:F345" totalsRowShown="0">
  <autoFilter ref="A4:F345" xr:uid="{00000000-0009-0000-0100-000004000000}"/>
  <tableColumns count="6">
    <tableColumn id="1" xr3:uid="{00000000-0010-0000-0100-000001000000}" name="Date" dataDxfId="5"/>
    <tableColumn id="2" xr3:uid="{00000000-0010-0000-0100-000002000000}" name="Item"/>
    <tableColumn id="3" xr3:uid="{00000000-0010-0000-0100-000003000000}" name="Sales Rep"/>
    <tableColumn id="4" xr3:uid="{00000000-0010-0000-0100-000004000000}" name="Quantity"/>
    <tableColumn id="5" xr3:uid="{00000000-0010-0000-0100-000005000000}" name="Price"/>
    <tableColumn id="6" xr3:uid="{00000000-0010-0000-0100-000006000000}" name="Commission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DataInTable3" displayName="DataInTable3" ref="A4:F280" totalsRowShown="0">
  <autoFilter ref="A4:F280" xr:uid="{00000000-0009-0000-0100-000002000000}"/>
  <tableColumns count="6">
    <tableColumn id="1" xr3:uid="{00000000-0010-0000-0200-000001000000}" name="Date" dataDxfId="3"/>
    <tableColumn id="2" xr3:uid="{00000000-0010-0000-0200-000002000000}" name="Item"/>
    <tableColumn id="3" xr3:uid="{00000000-0010-0000-0200-000003000000}" name="Sales Rep"/>
    <tableColumn id="4" xr3:uid="{00000000-0010-0000-0200-000004000000}" name="Quantity"/>
    <tableColumn id="5" xr3:uid="{00000000-0010-0000-0200-000005000000}" name="Price"/>
    <tableColumn id="6" xr3:uid="{00000000-0010-0000-0200-000006000000}" name="Commission" dataDxf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DataInTable34" displayName="DataInTable34" ref="A4:F366" totalsRowShown="0">
  <autoFilter ref="A4:F366" xr:uid="{00000000-0009-0000-0100-000003000000}"/>
  <tableColumns count="6">
    <tableColumn id="1" xr3:uid="{00000000-0010-0000-0300-000001000000}" name="Date" dataDxfId="1"/>
    <tableColumn id="2" xr3:uid="{00000000-0010-0000-0300-000002000000}" name="Item"/>
    <tableColumn id="3" xr3:uid="{00000000-0010-0000-0300-000003000000}" name="Sales Rep"/>
    <tableColumn id="4" xr3:uid="{00000000-0010-0000-0300-000004000000}" name="Quantity"/>
    <tableColumn id="5" xr3:uid="{00000000-0010-0000-0300-000005000000}" name="Price"/>
    <tableColumn id="6" xr3:uid="{00000000-0010-0000-0300-000006000000}" name="Commiss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3.bin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table" Target="../tables/table2.xml"/><Relationship Id="rId5" Type="http://schemas.openxmlformats.org/officeDocument/2006/relationships/printerSettings" Target="../printerSettings/printerSettings5.bin"/><Relationship Id="rId4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407B3-5015-4198-8128-C844B062DA86}">
  <sheetPr>
    <tabColor theme="1"/>
  </sheetPr>
  <dimension ref="A1:E12"/>
  <sheetViews>
    <sheetView zoomScale="115" zoomScaleNormal="115" workbookViewId="0">
      <selection activeCell="F23" sqref="F23"/>
    </sheetView>
  </sheetViews>
  <sheetFormatPr defaultRowHeight="14.4" x14ac:dyDescent="0.3"/>
  <cols>
    <col min="1" max="1" width="10.5546875" bestFit="1" customWidth="1"/>
    <col min="3" max="3" width="10" bestFit="1" customWidth="1"/>
    <col min="4" max="4" width="15.109375" bestFit="1" customWidth="1"/>
  </cols>
  <sheetData>
    <row r="1" spans="1:5" x14ac:dyDescent="0.3">
      <c r="A1" s="9" t="s">
        <v>22</v>
      </c>
      <c r="B1" s="9" t="s">
        <v>23</v>
      </c>
      <c r="D1" s="25" t="s">
        <v>31</v>
      </c>
      <c r="E1" s="21">
        <v>94</v>
      </c>
    </row>
    <row r="2" spans="1:5" x14ac:dyDescent="0.3">
      <c r="A2" s="10" t="s">
        <v>24</v>
      </c>
      <c r="B2" s="21">
        <v>0</v>
      </c>
      <c r="D2" s="25" t="s">
        <v>30</v>
      </c>
      <c r="E2" s="21">
        <v>10</v>
      </c>
    </row>
    <row r="3" spans="1:5" x14ac:dyDescent="0.3">
      <c r="A3" s="11" t="s">
        <v>25</v>
      </c>
      <c r="B3" s="21">
        <v>69</v>
      </c>
      <c r="D3" s="25" t="s">
        <v>29</v>
      </c>
      <c r="E3" s="22">
        <f>SUM(B2:B6)-SUM(E1:E2)</f>
        <v>504</v>
      </c>
    </row>
    <row r="4" spans="1:5" x14ac:dyDescent="0.3">
      <c r="A4" s="12" t="s">
        <v>26</v>
      </c>
      <c r="B4" s="21">
        <v>98</v>
      </c>
    </row>
    <row r="5" spans="1:5" x14ac:dyDescent="0.3">
      <c r="A5" s="13" t="s">
        <v>27</v>
      </c>
      <c r="B5" s="21">
        <v>137</v>
      </c>
    </row>
    <row r="6" spans="1:5" x14ac:dyDescent="0.3">
      <c r="A6" s="10" t="s">
        <v>28</v>
      </c>
      <c r="B6" s="21">
        <v>304</v>
      </c>
    </row>
    <row r="9" spans="1:5" x14ac:dyDescent="0.3">
      <c r="A9" s="19" t="s">
        <v>26</v>
      </c>
      <c r="B9" s="20" t="s">
        <v>36</v>
      </c>
      <c r="C9" s="20" t="s">
        <v>37</v>
      </c>
      <c r="D9" s="20" t="s">
        <v>38</v>
      </c>
    </row>
    <row r="10" spans="1:5" ht="16.2" x14ac:dyDescent="0.3">
      <c r="A10" s="16">
        <f>AVERAGE(GETPIVOTDATA("Total Sales",West!$I$4),GETPIVOTDATA("Total Sales",West!$L$4),GETPIVOTDATA("Total Sales",West!$O$4),GETPIVOTDATA("Total Sales",West!$R$4))</f>
        <v>98825</v>
      </c>
      <c r="B10" s="17">
        <f>MIN(GETPIVOTDATA("Total Sales",West!$I$4),GETPIVOTDATA("Total Sales",West!$L$4),GETPIVOTDATA("Total Sales",West!$O$4),GETPIVOTDATA("Total Sales",West!$R$4))</f>
        <v>69560</v>
      </c>
      <c r="C10" s="18">
        <f>MAX(GETPIVOTDATA("Total Sales",West!$I$4),GETPIVOTDATA("Total Sales",West!$L$4),GETPIVOTDATA("Total Sales",West!$O$4),GETPIVOTDATA("Total Sales",West!$R$4))</f>
        <v>137614</v>
      </c>
      <c r="D10" s="24">
        <f>MEDIAN(GETPIVOTDATA("Total Sales",West!$I$4),GETPIVOTDATA("Total Sales",West!$L$4),GETPIVOTDATA("Total Sales",West!$O$4),GETPIVOTDATA("Total Sales",West!$R$4))</f>
        <v>94063</v>
      </c>
    </row>
    <row r="12" spans="1:5" x14ac:dyDescent="0.3">
      <c r="A12" s="23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E8FF9-B4C7-45F5-BC3C-D870CB94899C}">
  <sheetPr>
    <tabColor rgb="FFFFC000"/>
    <pageSetUpPr autoPageBreaks="0"/>
  </sheetPr>
  <dimension ref="A1"/>
  <sheetViews>
    <sheetView showGridLines="0" zoomScale="55" zoomScaleNormal="55" zoomScaleSheetLayoutView="55" zoomScalePageLayoutView="40" workbookViewId="0">
      <selection activeCell="AD23" sqref="AD23"/>
    </sheetView>
  </sheetViews>
  <sheetFormatPr defaultRowHeight="14.4" x14ac:dyDescent="0.3"/>
  <cols>
    <col min="31" max="31" width="13.88671875" bestFit="1" customWidth="1"/>
    <col min="32" max="32" width="23.44140625" bestFit="1" customWidth="1"/>
  </cols>
  <sheetData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C0860-EDAB-46E5-ADBC-63E9EAD1B7E7}">
  <sheetPr>
    <tabColor theme="0" tint="-0.499984740745262"/>
  </sheetPr>
  <dimension ref="A3:I64"/>
  <sheetViews>
    <sheetView tabSelected="1" workbookViewId="0">
      <selection activeCell="A15" sqref="A15"/>
    </sheetView>
  </sheetViews>
  <sheetFormatPr defaultRowHeight="14.4" x14ac:dyDescent="0.3"/>
  <cols>
    <col min="1" max="1" width="12.5546875" bestFit="1" customWidth="1"/>
    <col min="2" max="2" width="16.44140625" bestFit="1" customWidth="1"/>
    <col min="3" max="6" width="11.44140625" bestFit="1" customWidth="1"/>
    <col min="7" max="7" width="12.44140625" bestFit="1" customWidth="1"/>
    <col min="8" max="8" width="11.44140625" bestFit="1" customWidth="1"/>
    <col min="9" max="9" width="12.44140625" bestFit="1" customWidth="1"/>
    <col min="10" max="13" width="8.77734375" bestFit="1" customWidth="1"/>
    <col min="14" max="14" width="9.6640625" bestFit="1" customWidth="1"/>
    <col min="15" max="19" width="8.77734375" bestFit="1" customWidth="1"/>
    <col min="20" max="20" width="10.33203125" bestFit="1" customWidth="1"/>
    <col min="21" max="27" width="8.77734375" bestFit="1" customWidth="1"/>
    <col min="28" max="28" width="10.109375" bestFit="1" customWidth="1"/>
    <col min="29" max="35" width="8.77734375" bestFit="1" customWidth="1"/>
    <col min="36" max="36" width="11.21875" bestFit="1" customWidth="1"/>
    <col min="37" max="37" width="10.77734375" bestFit="1" customWidth="1"/>
    <col min="38" max="38" width="13.5546875" bestFit="1" customWidth="1"/>
    <col min="39" max="39" width="10.77734375" bestFit="1" customWidth="1"/>
  </cols>
  <sheetData>
    <row r="3" spans="1:7" x14ac:dyDescent="0.3">
      <c r="A3" s="3" t="s">
        <v>17</v>
      </c>
      <c r="B3" t="s">
        <v>21</v>
      </c>
    </row>
    <row r="4" spans="1:7" x14ac:dyDescent="0.3">
      <c r="A4" s="6">
        <v>43282</v>
      </c>
      <c r="B4" s="7">
        <v>18488</v>
      </c>
    </row>
    <row r="5" spans="1:7" x14ac:dyDescent="0.3">
      <c r="A5" s="6">
        <v>43283</v>
      </c>
      <c r="B5" s="7">
        <v>8242</v>
      </c>
    </row>
    <row r="6" spans="1:7" x14ac:dyDescent="0.3">
      <c r="A6" s="6">
        <v>43284</v>
      </c>
      <c r="B6" s="7">
        <v>9684</v>
      </c>
    </row>
    <row r="7" spans="1:7" x14ac:dyDescent="0.3">
      <c r="A7" s="6">
        <v>43285</v>
      </c>
      <c r="B7" s="7">
        <v>15670</v>
      </c>
    </row>
    <row r="8" spans="1:7" x14ac:dyDescent="0.3">
      <c r="A8" s="6">
        <v>43286</v>
      </c>
      <c r="B8" s="7">
        <v>15420</v>
      </c>
    </row>
    <row r="9" spans="1:7" x14ac:dyDescent="0.3">
      <c r="A9" s="6">
        <v>43287</v>
      </c>
      <c r="B9" s="7">
        <v>22428</v>
      </c>
    </row>
    <row r="10" spans="1:7" x14ac:dyDescent="0.3">
      <c r="A10" s="6">
        <v>43288</v>
      </c>
      <c r="B10" s="7">
        <v>10244</v>
      </c>
    </row>
    <row r="11" spans="1:7" x14ac:dyDescent="0.3">
      <c r="A11" s="6" t="s">
        <v>18</v>
      </c>
      <c r="B11" s="7">
        <v>100176</v>
      </c>
    </row>
    <row r="13" spans="1:7" x14ac:dyDescent="0.3">
      <c r="A13" s="3" t="s">
        <v>21</v>
      </c>
      <c r="B13" s="3" t="s">
        <v>19</v>
      </c>
    </row>
    <row r="14" spans="1:7" x14ac:dyDescent="0.3">
      <c r="A14" s="3" t="s">
        <v>17</v>
      </c>
      <c r="B14" t="s">
        <v>13</v>
      </c>
      <c r="C14" t="s">
        <v>11</v>
      </c>
      <c r="D14" t="s">
        <v>15</v>
      </c>
      <c r="E14" t="s">
        <v>12</v>
      </c>
      <c r="F14" t="s">
        <v>14</v>
      </c>
      <c r="G14" t="s">
        <v>18</v>
      </c>
    </row>
    <row r="15" spans="1:7" x14ac:dyDescent="0.3">
      <c r="A15" s="6">
        <v>43282</v>
      </c>
      <c r="B15" s="7">
        <v>272</v>
      </c>
      <c r="C15" s="7">
        <v>2656</v>
      </c>
      <c r="D15" s="7">
        <v>2760</v>
      </c>
      <c r="E15" s="7">
        <v>7230</v>
      </c>
      <c r="F15" s="7">
        <v>5570</v>
      </c>
      <c r="G15" s="7">
        <v>18488</v>
      </c>
    </row>
    <row r="16" spans="1:7" x14ac:dyDescent="0.3">
      <c r="A16" s="6">
        <v>43283</v>
      </c>
      <c r="B16" s="7">
        <v>1360</v>
      </c>
      <c r="C16" s="7">
        <v>1600</v>
      </c>
      <c r="D16" s="7"/>
      <c r="E16" s="7">
        <v>3450</v>
      </c>
      <c r="F16" s="7">
        <v>1832</v>
      </c>
      <c r="G16" s="7">
        <v>8242</v>
      </c>
    </row>
    <row r="17" spans="1:7" x14ac:dyDescent="0.3">
      <c r="A17" s="6">
        <v>43284</v>
      </c>
      <c r="B17" s="7">
        <v>1920</v>
      </c>
      <c r="C17" s="7"/>
      <c r="D17" s="7">
        <v>1168</v>
      </c>
      <c r="E17" s="7">
        <v>112</v>
      </c>
      <c r="F17" s="7">
        <v>6484</v>
      </c>
      <c r="G17" s="7">
        <v>9684</v>
      </c>
    </row>
    <row r="18" spans="1:7" x14ac:dyDescent="0.3">
      <c r="A18" s="6">
        <v>43285</v>
      </c>
      <c r="B18" s="7">
        <v>7220</v>
      </c>
      <c r="C18" s="7"/>
      <c r="D18" s="7"/>
      <c r="E18" s="7">
        <v>3040</v>
      </c>
      <c r="F18" s="7">
        <v>5410</v>
      </c>
      <c r="G18" s="7">
        <v>15670</v>
      </c>
    </row>
    <row r="19" spans="1:7" x14ac:dyDescent="0.3">
      <c r="A19" s="6">
        <v>43286</v>
      </c>
      <c r="B19" s="7"/>
      <c r="C19" s="7">
        <v>5610</v>
      </c>
      <c r="D19" s="7">
        <v>3800</v>
      </c>
      <c r="E19" s="7">
        <v>720</v>
      </c>
      <c r="F19" s="7">
        <v>5290</v>
      </c>
      <c r="G19" s="7">
        <v>15420</v>
      </c>
    </row>
    <row r="20" spans="1:7" x14ac:dyDescent="0.3">
      <c r="A20" s="6">
        <v>43287</v>
      </c>
      <c r="B20" s="7">
        <v>4282</v>
      </c>
      <c r="C20" s="7">
        <v>6636</v>
      </c>
      <c r="D20" s="7">
        <v>5160</v>
      </c>
      <c r="E20" s="7">
        <v>4830</v>
      </c>
      <c r="F20" s="7">
        <v>1520</v>
      </c>
      <c r="G20" s="7">
        <v>22428</v>
      </c>
    </row>
    <row r="21" spans="1:7" x14ac:dyDescent="0.3">
      <c r="A21" s="6">
        <v>43288</v>
      </c>
      <c r="B21" s="7">
        <v>1824</v>
      </c>
      <c r="C21" s="7">
        <v>1870</v>
      </c>
      <c r="D21" s="7">
        <v>3660</v>
      </c>
      <c r="E21" s="7">
        <v>760</v>
      </c>
      <c r="F21" s="7">
        <v>2130</v>
      </c>
      <c r="G21" s="7">
        <v>10244</v>
      </c>
    </row>
    <row r="22" spans="1:7" x14ac:dyDescent="0.3">
      <c r="A22" s="6" t="s">
        <v>18</v>
      </c>
      <c r="B22" s="7">
        <v>16878</v>
      </c>
      <c r="C22" s="7">
        <v>18372</v>
      </c>
      <c r="D22" s="7">
        <v>16548</v>
      </c>
      <c r="E22" s="7">
        <v>20142</v>
      </c>
      <c r="F22" s="7">
        <v>28236</v>
      </c>
      <c r="G22" s="7">
        <v>100176</v>
      </c>
    </row>
    <row r="24" spans="1:7" x14ac:dyDescent="0.3">
      <c r="A24" s="3" t="s">
        <v>17</v>
      </c>
      <c r="B24" t="s">
        <v>21</v>
      </c>
    </row>
    <row r="25" spans="1:7" x14ac:dyDescent="0.3">
      <c r="A25" s="4" t="s">
        <v>9</v>
      </c>
      <c r="B25" s="8">
        <v>3.1304903370068679E-2</v>
      </c>
    </row>
    <row r="26" spans="1:7" x14ac:dyDescent="0.3">
      <c r="A26" s="4" t="s">
        <v>6</v>
      </c>
      <c r="B26" s="8">
        <v>0.40179284459351539</v>
      </c>
    </row>
    <row r="27" spans="1:7" x14ac:dyDescent="0.3">
      <c r="A27" s="4" t="s">
        <v>10</v>
      </c>
      <c r="B27" s="8">
        <v>0.20364159080019167</v>
      </c>
    </row>
    <row r="28" spans="1:7" x14ac:dyDescent="0.3">
      <c r="A28" s="4" t="s">
        <v>7</v>
      </c>
      <c r="B28" s="8">
        <v>0.24706516530905606</v>
      </c>
    </row>
    <row r="29" spans="1:7" x14ac:dyDescent="0.3">
      <c r="A29" s="4" t="s">
        <v>8</v>
      </c>
      <c r="B29" s="8">
        <v>0.11619549592716819</v>
      </c>
    </row>
    <row r="30" spans="1:7" x14ac:dyDescent="0.3">
      <c r="A30" s="4" t="s">
        <v>18</v>
      </c>
      <c r="B30" s="8">
        <v>1</v>
      </c>
    </row>
    <row r="32" spans="1:7" x14ac:dyDescent="0.3">
      <c r="A32" s="3" t="s">
        <v>21</v>
      </c>
      <c r="B32" s="3" t="s">
        <v>19</v>
      </c>
    </row>
    <row r="33" spans="1:9" x14ac:dyDescent="0.3">
      <c r="A33" s="3" t="s">
        <v>17</v>
      </c>
      <c r="B33" s="1">
        <v>43282</v>
      </c>
      <c r="C33" s="1">
        <v>43283</v>
      </c>
      <c r="D33" s="1">
        <v>43284</v>
      </c>
      <c r="E33" s="1">
        <v>43285</v>
      </c>
      <c r="F33" s="1">
        <v>43286</v>
      </c>
      <c r="G33" s="1">
        <v>43287</v>
      </c>
      <c r="H33" s="1">
        <v>43288</v>
      </c>
      <c r="I33" s="1" t="s">
        <v>18</v>
      </c>
    </row>
    <row r="34" spans="1:9" x14ac:dyDescent="0.3">
      <c r="A34" s="4" t="s">
        <v>13</v>
      </c>
      <c r="B34" s="7">
        <v>272</v>
      </c>
      <c r="C34" s="7">
        <v>1360</v>
      </c>
      <c r="D34" s="7">
        <v>1920</v>
      </c>
      <c r="E34" s="7">
        <v>7220</v>
      </c>
      <c r="F34" s="7"/>
      <c r="G34" s="7">
        <v>4282</v>
      </c>
      <c r="H34" s="7">
        <v>1824</v>
      </c>
      <c r="I34" s="7">
        <v>16878</v>
      </c>
    </row>
    <row r="35" spans="1:9" x14ac:dyDescent="0.3">
      <c r="A35" s="5" t="s">
        <v>9</v>
      </c>
      <c r="B35" s="7">
        <v>272</v>
      </c>
      <c r="C35" s="7"/>
      <c r="D35" s="7"/>
      <c r="E35" s="7"/>
      <c r="F35" s="7"/>
      <c r="G35" s="7">
        <v>352</v>
      </c>
      <c r="H35" s="7">
        <v>224</v>
      </c>
      <c r="I35" s="7">
        <v>848</v>
      </c>
    </row>
    <row r="36" spans="1:9" x14ac:dyDescent="0.3">
      <c r="A36" s="5" t="s">
        <v>6</v>
      </c>
      <c r="B36" s="7"/>
      <c r="C36" s="7"/>
      <c r="D36" s="7"/>
      <c r="E36" s="7">
        <v>5060</v>
      </c>
      <c r="F36" s="7"/>
      <c r="G36" s="7"/>
      <c r="H36" s="7"/>
      <c r="I36" s="7">
        <v>5060</v>
      </c>
    </row>
    <row r="37" spans="1:9" x14ac:dyDescent="0.3">
      <c r="A37" s="5" t="s">
        <v>10</v>
      </c>
      <c r="B37" s="7"/>
      <c r="C37" s="7">
        <v>720</v>
      </c>
      <c r="D37" s="7">
        <v>1280</v>
      </c>
      <c r="E37" s="7">
        <v>1360</v>
      </c>
      <c r="F37" s="7"/>
      <c r="G37" s="7">
        <v>1680</v>
      </c>
      <c r="H37" s="7">
        <v>800</v>
      </c>
      <c r="I37" s="7">
        <v>5840</v>
      </c>
    </row>
    <row r="38" spans="1:9" x14ac:dyDescent="0.3">
      <c r="A38" s="5" t="s">
        <v>7</v>
      </c>
      <c r="B38" s="7"/>
      <c r="C38" s="7"/>
      <c r="D38" s="7"/>
      <c r="E38" s="7"/>
      <c r="F38" s="7"/>
      <c r="G38" s="7">
        <v>2250</v>
      </c>
      <c r="H38" s="7"/>
      <c r="I38" s="7">
        <v>2250</v>
      </c>
    </row>
    <row r="39" spans="1:9" x14ac:dyDescent="0.3">
      <c r="A39" s="5" t="s">
        <v>8</v>
      </c>
      <c r="B39" s="7"/>
      <c r="C39" s="7">
        <v>640</v>
      </c>
      <c r="D39" s="7">
        <v>640</v>
      </c>
      <c r="E39" s="7">
        <v>800</v>
      </c>
      <c r="F39" s="7"/>
      <c r="G39" s="7"/>
      <c r="H39" s="7">
        <v>800</v>
      </c>
      <c r="I39" s="7">
        <v>2880</v>
      </c>
    </row>
    <row r="40" spans="1:9" x14ac:dyDescent="0.3">
      <c r="A40" s="4" t="s">
        <v>11</v>
      </c>
      <c r="B40" s="7">
        <v>2656</v>
      </c>
      <c r="C40" s="7">
        <v>1600</v>
      </c>
      <c r="D40" s="7"/>
      <c r="E40" s="7"/>
      <c r="F40" s="7">
        <v>5610</v>
      </c>
      <c r="G40" s="7">
        <v>6636</v>
      </c>
      <c r="H40" s="7">
        <v>1870</v>
      </c>
      <c r="I40" s="7">
        <v>18372</v>
      </c>
    </row>
    <row r="41" spans="1:9" x14ac:dyDescent="0.3">
      <c r="A41" s="5" t="s">
        <v>9</v>
      </c>
      <c r="B41" s="7">
        <v>336</v>
      </c>
      <c r="C41" s="7"/>
      <c r="D41" s="7"/>
      <c r="E41" s="7"/>
      <c r="F41" s="7"/>
      <c r="G41" s="7">
        <v>176</v>
      </c>
      <c r="H41" s="7"/>
      <c r="I41" s="7">
        <v>512</v>
      </c>
    </row>
    <row r="42" spans="1:9" x14ac:dyDescent="0.3">
      <c r="A42" s="5" t="s">
        <v>6</v>
      </c>
      <c r="B42" s="7">
        <v>1840</v>
      </c>
      <c r="C42" s="7"/>
      <c r="D42" s="7"/>
      <c r="E42" s="7"/>
      <c r="F42" s="7">
        <v>2300</v>
      </c>
      <c r="G42" s="7"/>
      <c r="H42" s="7"/>
      <c r="I42" s="7">
        <v>4140</v>
      </c>
    </row>
    <row r="43" spans="1:9" x14ac:dyDescent="0.3">
      <c r="A43" s="5" t="s">
        <v>10</v>
      </c>
      <c r="B43" s="7">
        <v>480</v>
      </c>
      <c r="C43" s="7">
        <v>1600</v>
      </c>
      <c r="D43" s="7"/>
      <c r="E43" s="7"/>
      <c r="F43" s="7">
        <v>1360</v>
      </c>
      <c r="G43" s="7">
        <v>1680</v>
      </c>
      <c r="H43" s="7">
        <v>1120</v>
      </c>
      <c r="I43" s="7">
        <v>6240</v>
      </c>
    </row>
    <row r="44" spans="1:9" x14ac:dyDescent="0.3">
      <c r="A44" s="5" t="s">
        <v>7</v>
      </c>
      <c r="B44" s="7"/>
      <c r="C44" s="7"/>
      <c r="D44" s="7"/>
      <c r="E44" s="7"/>
      <c r="F44" s="7">
        <v>1950</v>
      </c>
      <c r="G44" s="7">
        <v>3300</v>
      </c>
      <c r="H44" s="7">
        <v>750</v>
      </c>
      <c r="I44" s="7">
        <v>6000</v>
      </c>
    </row>
    <row r="45" spans="1:9" x14ac:dyDescent="0.3">
      <c r="A45" s="5" t="s">
        <v>8</v>
      </c>
      <c r="B45" s="7"/>
      <c r="C45" s="7"/>
      <c r="D45" s="7"/>
      <c r="E45" s="7"/>
      <c r="F45" s="7"/>
      <c r="G45" s="7">
        <v>1480</v>
      </c>
      <c r="H45" s="7"/>
      <c r="I45" s="7">
        <v>1480</v>
      </c>
    </row>
    <row r="46" spans="1:9" x14ac:dyDescent="0.3">
      <c r="A46" s="4" t="s">
        <v>15</v>
      </c>
      <c r="B46" s="7">
        <v>2760</v>
      </c>
      <c r="C46" s="7"/>
      <c r="D46" s="7">
        <v>1168</v>
      </c>
      <c r="E46" s="7"/>
      <c r="F46" s="7">
        <v>3800</v>
      </c>
      <c r="G46" s="7">
        <v>5160</v>
      </c>
      <c r="H46" s="7">
        <v>3660</v>
      </c>
      <c r="I46" s="7">
        <v>16548</v>
      </c>
    </row>
    <row r="47" spans="1:9" x14ac:dyDescent="0.3">
      <c r="A47" s="5" t="s">
        <v>9</v>
      </c>
      <c r="B47" s="7"/>
      <c r="C47" s="7"/>
      <c r="D47" s="7">
        <v>368</v>
      </c>
      <c r="E47" s="7"/>
      <c r="F47" s="7"/>
      <c r="G47" s="7">
        <v>560</v>
      </c>
      <c r="H47" s="7"/>
      <c r="I47" s="7">
        <v>928</v>
      </c>
    </row>
    <row r="48" spans="1:9" x14ac:dyDescent="0.3">
      <c r="A48" s="5" t="s">
        <v>6</v>
      </c>
      <c r="B48" s="7">
        <v>2760</v>
      </c>
      <c r="C48" s="7"/>
      <c r="D48" s="7"/>
      <c r="E48" s="7"/>
      <c r="F48" s="7"/>
      <c r="G48" s="7">
        <v>4600</v>
      </c>
      <c r="H48" s="7"/>
      <c r="I48" s="7">
        <v>7360</v>
      </c>
    </row>
    <row r="49" spans="1:9" x14ac:dyDescent="0.3">
      <c r="A49" s="5" t="s">
        <v>10</v>
      </c>
      <c r="B49" s="7"/>
      <c r="C49" s="7"/>
      <c r="D49" s="7">
        <v>800</v>
      </c>
      <c r="E49" s="7"/>
      <c r="F49" s="7"/>
      <c r="G49" s="7"/>
      <c r="H49" s="7"/>
      <c r="I49" s="7">
        <v>800</v>
      </c>
    </row>
    <row r="50" spans="1:9" x14ac:dyDescent="0.3">
      <c r="A50" s="5" t="s">
        <v>7</v>
      </c>
      <c r="B50" s="7"/>
      <c r="C50" s="7"/>
      <c r="D50" s="7"/>
      <c r="E50" s="7"/>
      <c r="F50" s="7">
        <v>3000</v>
      </c>
      <c r="G50" s="7"/>
      <c r="H50" s="7">
        <v>2700</v>
      </c>
      <c r="I50" s="7">
        <v>5700</v>
      </c>
    </row>
    <row r="51" spans="1:9" x14ac:dyDescent="0.3">
      <c r="A51" s="5" t="s">
        <v>8</v>
      </c>
      <c r="B51" s="7"/>
      <c r="C51" s="7"/>
      <c r="D51" s="7"/>
      <c r="E51" s="7"/>
      <c r="F51" s="7">
        <v>800</v>
      </c>
      <c r="G51" s="7"/>
      <c r="H51" s="7">
        <v>960</v>
      </c>
      <c r="I51" s="7">
        <v>1760</v>
      </c>
    </row>
    <row r="52" spans="1:9" x14ac:dyDescent="0.3">
      <c r="A52" s="4" t="s">
        <v>12</v>
      </c>
      <c r="B52" s="7">
        <v>7230</v>
      </c>
      <c r="C52" s="7">
        <v>3450</v>
      </c>
      <c r="D52" s="7">
        <v>112</v>
      </c>
      <c r="E52" s="7">
        <v>3040</v>
      </c>
      <c r="F52" s="7">
        <v>720</v>
      </c>
      <c r="G52" s="7">
        <v>4830</v>
      </c>
      <c r="H52" s="7">
        <v>760</v>
      </c>
      <c r="I52" s="7">
        <v>20142</v>
      </c>
    </row>
    <row r="53" spans="1:9" x14ac:dyDescent="0.3">
      <c r="A53" s="5" t="s">
        <v>9</v>
      </c>
      <c r="B53" s="7"/>
      <c r="C53" s="7"/>
      <c r="D53" s="7">
        <v>112</v>
      </c>
      <c r="E53" s="7"/>
      <c r="F53" s="7"/>
      <c r="G53" s="7"/>
      <c r="H53" s="7"/>
      <c r="I53" s="7">
        <v>112</v>
      </c>
    </row>
    <row r="54" spans="1:9" x14ac:dyDescent="0.3">
      <c r="A54" s="5" t="s">
        <v>6</v>
      </c>
      <c r="B54" s="7">
        <v>6670</v>
      </c>
      <c r="C54" s="7"/>
      <c r="D54" s="7"/>
      <c r="E54" s="7"/>
      <c r="F54" s="7"/>
      <c r="G54" s="7">
        <v>4830</v>
      </c>
      <c r="H54" s="7"/>
      <c r="I54" s="7">
        <v>11500</v>
      </c>
    </row>
    <row r="55" spans="1:9" x14ac:dyDescent="0.3">
      <c r="A55" s="5" t="s">
        <v>10</v>
      </c>
      <c r="B55" s="7"/>
      <c r="C55" s="7"/>
      <c r="D55" s="7"/>
      <c r="E55" s="7"/>
      <c r="F55" s="7">
        <v>720</v>
      </c>
      <c r="G55" s="7"/>
      <c r="H55" s="7"/>
      <c r="I55" s="7">
        <v>720</v>
      </c>
    </row>
    <row r="56" spans="1:9" x14ac:dyDescent="0.3">
      <c r="A56" s="5" t="s">
        <v>7</v>
      </c>
      <c r="B56" s="7"/>
      <c r="C56" s="7">
        <v>3450</v>
      </c>
      <c r="D56" s="7"/>
      <c r="E56" s="7">
        <v>2400</v>
      </c>
      <c r="F56" s="7"/>
      <c r="G56" s="7"/>
      <c r="H56" s="7"/>
      <c r="I56" s="7">
        <v>5850</v>
      </c>
    </row>
    <row r="57" spans="1:9" x14ac:dyDescent="0.3">
      <c r="A57" s="5" t="s">
        <v>8</v>
      </c>
      <c r="B57" s="7">
        <v>560</v>
      </c>
      <c r="C57" s="7"/>
      <c r="D57" s="7"/>
      <c r="E57" s="7">
        <v>640</v>
      </c>
      <c r="F57" s="7"/>
      <c r="G57" s="7"/>
      <c r="H57" s="7">
        <v>760</v>
      </c>
      <c r="I57" s="7">
        <v>1960</v>
      </c>
    </row>
    <row r="58" spans="1:9" x14ac:dyDescent="0.3">
      <c r="A58" s="4" t="s">
        <v>14</v>
      </c>
      <c r="B58" s="7">
        <v>5570</v>
      </c>
      <c r="C58" s="7">
        <v>1832</v>
      </c>
      <c r="D58" s="7">
        <v>6484</v>
      </c>
      <c r="E58" s="7">
        <v>5410</v>
      </c>
      <c r="F58" s="7">
        <v>5290</v>
      </c>
      <c r="G58" s="7">
        <v>1520</v>
      </c>
      <c r="H58" s="7">
        <v>2130</v>
      </c>
      <c r="I58" s="7">
        <v>28236</v>
      </c>
    </row>
    <row r="59" spans="1:9" x14ac:dyDescent="0.3">
      <c r="A59" s="5" t="s">
        <v>9</v>
      </c>
      <c r="B59" s="7"/>
      <c r="C59" s="7">
        <v>352</v>
      </c>
      <c r="D59" s="7">
        <v>224</v>
      </c>
      <c r="E59" s="7">
        <v>160</v>
      </c>
      <c r="F59" s="7"/>
      <c r="G59" s="7"/>
      <c r="H59" s="7"/>
      <c r="I59" s="7">
        <v>736</v>
      </c>
    </row>
    <row r="60" spans="1:9" x14ac:dyDescent="0.3">
      <c r="A60" s="5" t="s">
        <v>6</v>
      </c>
      <c r="B60" s="7"/>
      <c r="C60" s="7"/>
      <c r="D60" s="7">
        <v>1840</v>
      </c>
      <c r="E60" s="7">
        <v>4370</v>
      </c>
      <c r="F60" s="7">
        <v>5290</v>
      </c>
      <c r="G60" s="7"/>
      <c r="H60" s="7">
        <v>690</v>
      </c>
      <c r="I60" s="7">
        <v>12190</v>
      </c>
    </row>
    <row r="61" spans="1:9" x14ac:dyDescent="0.3">
      <c r="A61" s="5" t="s">
        <v>10</v>
      </c>
      <c r="B61" s="7">
        <v>1520</v>
      </c>
      <c r="C61" s="7">
        <v>560</v>
      </c>
      <c r="D61" s="7">
        <v>2640</v>
      </c>
      <c r="E61" s="7"/>
      <c r="F61" s="7"/>
      <c r="G61" s="7">
        <v>800</v>
      </c>
      <c r="H61" s="7">
        <v>1280</v>
      </c>
      <c r="I61" s="7">
        <v>6800</v>
      </c>
    </row>
    <row r="62" spans="1:9" x14ac:dyDescent="0.3">
      <c r="A62" s="5" t="s">
        <v>7</v>
      </c>
      <c r="B62" s="7">
        <v>4050</v>
      </c>
      <c r="C62" s="7"/>
      <c r="D62" s="7">
        <v>900</v>
      </c>
      <c r="E62" s="7"/>
      <c r="F62" s="7"/>
      <c r="G62" s="7"/>
      <c r="H62" s="7"/>
      <c r="I62" s="7">
        <v>4950</v>
      </c>
    </row>
    <row r="63" spans="1:9" x14ac:dyDescent="0.3">
      <c r="A63" s="5" t="s">
        <v>8</v>
      </c>
      <c r="B63" s="7"/>
      <c r="C63" s="7">
        <v>920</v>
      </c>
      <c r="D63" s="7">
        <v>880</v>
      </c>
      <c r="E63" s="7">
        <v>880</v>
      </c>
      <c r="F63" s="7"/>
      <c r="G63" s="7">
        <v>720</v>
      </c>
      <c r="H63" s="7">
        <v>160</v>
      </c>
      <c r="I63" s="7">
        <v>3560</v>
      </c>
    </row>
    <row r="64" spans="1:9" x14ac:dyDescent="0.3">
      <c r="A64" s="4" t="s">
        <v>18</v>
      </c>
      <c r="B64" s="7">
        <v>18488</v>
      </c>
      <c r="C64" s="7">
        <v>8242</v>
      </c>
      <c r="D64" s="7">
        <v>9684</v>
      </c>
      <c r="E64" s="7">
        <v>15670</v>
      </c>
      <c r="F64" s="7">
        <v>15420</v>
      </c>
      <c r="G64" s="7">
        <v>22428</v>
      </c>
      <c r="H64" s="7">
        <v>10244</v>
      </c>
      <c r="I64" s="7">
        <v>100176</v>
      </c>
    </row>
  </sheetData>
  <pageMargins left="0.7" right="0.7" top="0.75" bottom="0.75" header="0.3" footer="0.3"/>
  <pageSetup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7FC6B-3387-49B3-8D6D-0B808027B240}">
  <sheetPr>
    <tabColor theme="0" tint="-0.499984740745262"/>
  </sheetPr>
  <dimension ref="A1:G77"/>
  <sheetViews>
    <sheetView topLeftCell="A55" workbookViewId="0">
      <selection activeCell="I6" sqref="I6"/>
    </sheetView>
  </sheetViews>
  <sheetFormatPr defaultRowHeight="14.4" x14ac:dyDescent="0.3"/>
  <cols>
    <col min="1" max="1" width="8.5546875" bestFit="1" customWidth="1"/>
    <col min="2" max="2" width="11.21875" bestFit="1" customWidth="1"/>
    <col min="3" max="3" width="11.109375" bestFit="1" customWidth="1"/>
    <col min="4" max="4" width="10.5546875" bestFit="1" customWidth="1"/>
    <col min="5" max="5" width="7.33203125" bestFit="1" customWidth="1"/>
    <col min="6" max="6" width="13.44140625" bestFit="1" customWidth="1"/>
  </cols>
  <sheetData>
    <row r="1" spans="1:7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5</v>
      </c>
      <c r="G1" t="s">
        <v>20</v>
      </c>
    </row>
    <row r="2" spans="1:7" x14ac:dyDescent="0.3">
      <c r="A2" s="1">
        <v>43282</v>
      </c>
      <c r="B2" t="s">
        <v>10</v>
      </c>
      <c r="C2" t="s">
        <v>11</v>
      </c>
      <c r="D2">
        <v>6</v>
      </c>
      <c r="E2">
        <v>80</v>
      </c>
      <c r="F2">
        <v>0.01</v>
      </c>
      <c r="G2">
        <f>DataInTable_1[[#This Row],[Quantity]]*DataInTable_1[[#This Row],[Price]]</f>
        <v>480</v>
      </c>
    </row>
    <row r="3" spans="1:7" x14ac:dyDescent="0.3">
      <c r="A3" s="1">
        <v>43282</v>
      </c>
      <c r="B3" t="s">
        <v>8</v>
      </c>
      <c r="C3" t="s">
        <v>12</v>
      </c>
      <c r="D3">
        <v>14</v>
      </c>
      <c r="E3">
        <v>40</v>
      </c>
      <c r="F3">
        <v>0.06</v>
      </c>
      <c r="G3">
        <f>DataInTable_1[[#This Row],[Quantity]]*DataInTable_1[[#This Row],[Price]]</f>
        <v>560</v>
      </c>
    </row>
    <row r="4" spans="1:7" x14ac:dyDescent="0.3">
      <c r="A4" s="1">
        <v>43282</v>
      </c>
      <c r="B4" t="s">
        <v>6</v>
      </c>
      <c r="C4" t="s">
        <v>12</v>
      </c>
      <c r="D4">
        <v>22</v>
      </c>
      <c r="E4">
        <v>230</v>
      </c>
      <c r="F4">
        <v>0.11</v>
      </c>
      <c r="G4">
        <f>DataInTable_1[[#This Row],[Quantity]]*DataInTable_1[[#This Row],[Price]]</f>
        <v>5060</v>
      </c>
    </row>
    <row r="5" spans="1:7" x14ac:dyDescent="0.3">
      <c r="A5" s="1">
        <v>43282</v>
      </c>
      <c r="B5" t="s">
        <v>6</v>
      </c>
      <c r="C5" t="s">
        <v>11</v>
      </c>
      <c r="D5">
        <v>8</v>
      </c>
      <c r="E5">
        <v>230</v>
      </c>
      <c r="F5">
        <v>0.03</v>
      </c>
      <c r="G5">
        <f>DataInTable_1[[#This Row],[Quantity]]*DataInTable_1[[#This Row],[Price]]</f>
        <v>1840</v>
      </c>
    </row>
    <row r="6" spans="1:7" x14ac:dyDescent="0.3">
      <c r="A6" s="1">
        <v>43282</v>
      </c>
      <c r="B6" t="s">
        <v>6</v>
      </c>
      <c r="C6" t="s">
        <v>15</v>
      </c>
      <c r="D6">
        <v>12</v>
      </c>
      <c r="E6">
        <v>230</v>
      </c>
      <c r="F6">
        <v>0.03</v>
      </c>
      <c r="G6">
        <f>DataInTable_1[[#This Row],[Quantity]]*DataInTable_1[[#This Row],[Price]]</f>
        <v>2760</v>
      </c>
    </row>
    <row r="7" spans="1:7" x14ac:dyDescent="0.3">
      <c r="A7" s="1">
        <v>43282</v>
      </c>
      <c r="B7" t="s">
        <v>10</v>
      </c>
      <c r="C7" t="s">
        <v>14</v>
      </c>
      <c r="D7">
        <v>19</v>
      </c>
      <c r="E7">
        <v>80</v>
      </c>
      <c r="F7">
        <v>0.02</v>
      </c>
      <c r="G7">
        <f>DataInTable_1[[#This Row],[Quantity]]*DataInTable_1[[#This Row],[Price]]</f>
        <v>1520</v>
      </c>
    </row>
    <row r="8" spans="1:7" x14ac:dyDescent="0.3">
      <c r="A8" s="1">
        <v>43282</v>
      </c>
      <c r="B8" t="s">
        <v>9</v>
      </c>
      <c r="C8" t="s">
        <v>13</v>
      </c>
      <c r="D8">
        <v>17</v>
      </c>
      <c r="E8">
        <v>16</v>
      </c>
      <c r="F8">
        <v>0.08</v>
      </c>
      <c r="G8">
        <f>DataInTable_1[[#This Row],[Quantity]]*DataInTable_1[[#This Row],[Price]]</f>
        <v>272</v>
      </c>
    </row>
    <row r="9" spans="1:7" x14ac:dyDescent="0.3">
      <c r="A9" s="1">
        <v>43282</v>
      </c>
      <c r="B9" t="s">
        <v>7</v>
      </c>
      <c r="C9" t="s">
        <v>14</v>
      </c>
      <c r="D9">
        <v>7</v>
      </c>
      <c r="E9">
        <v>150</v>
      </c>
      <c r="F9">
        <v>0.05</v>
      </c>
      <c r="G9">
        <f>DataInTable_1[[#This Row],[Quantity]]*DataInTable_1[[#This Row],[Price]]</f>
        <v>1050</v>
      </c>
    </row>
    <row r="10" spans="1:7" x14ac:dyDescent="0.3">
      <c r="A10" s="1">
        <v>43282</v>
      </c>
      <c r="B10" t="s">
        <v>7</v>
      </c>
      <c r="C10" t="s">
        <v>14</v>
      </c>
      <c r="D10">
        <v>20</v>
      </c>
      <c r="E10">
        <v>150</v>
      </c>
      <c r="F10">
        <v>0.1</v>
      </c>
      <c r="G10">
        <f>DataInTable_1[[#This Row],[Quantity]]*DataInTable_1[[#This Row],[Price]]</f>
        <v>3000</v>
      </c>
    </row>
    <row r="11" spans="1:7" x14ac:dyDescent="0.3">
      <c r="A11" s="1">
        <v>43282</v>
      </c>
      <c r="B11" t="s">
        <v>9</v>
      </c>
      <c r="C11" t="s">
        <v>11</v>
      </c>
      <c r="D11">
        <v>21</v>
      </c>
      <c r="E11">
        <v>16</v>
      </c>
      <c r="F11">
        <v>0.09</v>
      </c>
      <c r="G11">
        <f>DataInTable_1[[#This Row],[Quantity]]*DataInTable_1[[#This Row],[Price]]</f>
        <v>336</v>
      </c>
    </row>
    <row r="12" spans="1:7" x14ac:dyDescent="0.3">
      <c r="A12" s="1">
        <v>43282</v>
      </c>
      <c r="B12" t="s">
        <v>6</v>
      </c>
      <c r="C12" t="s">
        <v>12</v>
      </c>
      <c r="D12">
        <v>7</v>
      </c>
      <c r="E12">
        <v>230</v>
      </c>
      <c r="F12">
        <v>0.01</v>
      </c>
      <c r="G12">
        <f>DataInTable_1[[#This Row],[Quantity]]*DataInTable_1[[#This Row],[Price]]</f>
        <v>1610</v>
      </c>
    </row>
    <row r="13" spans="1:7" x14ac:dyDescent="0.3">
      <c r="A13" s="1">
        <v>43283</v>
      </c>
      <c r="B13" t="s">
        <v>10</v>
      </c>
      <c r="C13" t="s">
        <v>14</v>
      </c>
      <c r="D13">
        <v>7</v>
      </c>
      <c r="E13">
        <v>80</v>
      </c>
      <c r="F13">
        <v>7.0000000000000007E-2</v>
      </c>
      <c r="G13">
        <f>DataInTable_1[[#This Row],[Quantity]]*DataInTable_1[[#This Row],[Price]]</f>
        <v>560</v>
      </c>
    </row>
    <row r="14" spans="1:7" x14ac:dyDescent="0.3">
      <c r="A14" s="1">
        <v>43283</v>
      </c>
      <c r="B14" t="s">
        <v>10</v>
      </c>
      <c r="C14" t="s">
        <v>13</v>
      </c>
      <c r="D14">
        <v>9</v>
      </c>
      <c r="E14">
        <v>80</v>
      </c>
      <c r="F14">
        <v>0.02</v>
      </c>
      <c r="G14">
        <f>DataInTable_1[[#This Row],[Quantity]]*DataInTable_1[[#This Row],[Price]]</f>
        <v>720</v>
      </c>
    </row>
    <row r="15" spans="1:7" x14ac:dyDescent="0.3">
      <c r="A15" s="1">
        <v>43283</v>
      </c>
      <c r="B15" t="s">
        <v>8</v>
      </c>
      <c r="C15" t="s">
        <v>13</v>
      </c>
      <c r="D15">
        <v>16</v>
      </c>
      <c r="E15">
        <v>40</v>
      </c>
      <c r="F15">
        <v>0.09</v>
      </c>
      <c r="G15">
        <f>DataInTable_1[[#This Row],[Quantity]]*DataInTable_1[[#This Row],[Price]]</f>
        <v>640</v>
      </c>
    </row>
    <row r="16" spans="1:7" x14ac:dyDescent="0.3">
      <c r="A16" s="1">
        <v>43283</v>
      </c>
      <c r="B16" t="s">
        <v>7</v>
      </c>
      <c r="C16" t="s">
        <v>12</v>
      </c>
      <c r="D16">
        <v>23</v>
      </c>
      <c r="E16">
        <v>150</v>
      </c>
      <c r="F16">
        <v>0.11</v>
      </c>
      <c r="G16">
        <f>DataInTable_1[[#This Row],[Quantity]]*DataInTable_1[[#This Row],[Price]]</f>
        <v>3450</v>
      </c>
    </row>
    <row r="17" spans="1:7" x14ac:dyDescent="0.3">
      <c r="A17" s="1">
        <v>43283</v>
      </c>
      <c r="B17" t="s">
        <v>9</v>
      </c>
      <c r="C17" t="s">
        <v>14</v>
      </c>
      <c r="D17">
        <v>22</v>
      </c>
      <c r="E17">
        <v>16</v>
      </c>
      <c r="F17">
        <v>0.03</v>
      </c>
      <c r="G17">
        <f>DataInTable_1[[#This Row],[Quantity]]*DataInTable_1[[#This Row],[Price]]</f>
        <v>352</v>
      </c>
    </row>
    <row r="18" spans="1:7" x14ac:dyDescent="0.3">
      <c r="A18" s="1">
        <v>43283</v>
      </c>
      <c r="B18" t="s">
        <v>8</v>
      </c>
      <c r="C18" t="s">
        <v>14</v>
      </c>
      <c r="D18">
        <v>23</v>
      </c>
      <c r="E18">
        <v>40</v>
      </c>
      <c r="F18">
        <v>0.06</v>
      </c>
      <c r="G18">
        <f>DataInTable_1[[#This Row],[Quantity]]*DataInTable_1[[#This Row],[Price]]</f>
        <v>920</v>
      </c>
    </row>
    <row r="19" spans="1:7" x14ac:dyDescent="0.3">
      <c r="A19" s="1">
        <v>43283</v>
      </c>
      <c r="B19" t="s">
        <v>10</v>
      </c>
      <c r="C19" t="s">
        <v>11</v>
      </c>
      <c r="D19">
        <v>20</v>
      </c>
      <c r="E19">
        <v>80</v>
      </c>
      <c r="F19">
        <v>0.01</v>
      </c>
      <c r="G19">
        <f>DataInTable_1[[#This Row],[Quantity]]*DataInTable_1[[#This Row],[Price]]</f>
        <v>1600</v>
      </c>
    </row>
    <row r="20" spans="1:7" x14ac:dyDescent="0.3">
      <c r="A20" s="1">
        <v>43284</v>
      </c>
      <c r="B20" t="s">
        <v>10</v>
      </c>
      <c r="C20" t="s">
        <v>14</v>
      </c>
      <c r="D20">
        <v>11</v>
      </c>
      <c r="E20">
        <v>80</v>
      </c>
      <c r="F20">
        <v>0.01</v>
      </c>
      <c r="G20">
        <f>DataInTable_1[[#This Row],[Quantity]]*DataInTable_1[[#This Row],[Price]]</f>
        <v>880</v>
      </c>
    </row>
    <row r="21" spans="1:7" x14ac:dyDescent="0.3">
      <c r="A21" s="1">
        <v>43284</v>
      </c>
      <c r="B21" t="s">
        <v>8</v>
      </c>
      <c r="C21" t="s">
        <v>14</v>
      </c>
      <c r="D21">
        <v>9</v>
      </c>
      <c r="E21">
        <v>40</v>
      </c>
      <c r="F21">
        <v>0.06</v>
      </c>
      <c r="G21">
        <f>DataInTable_1[[#This Row],[Quantity]]*DataInTable_1[[#This Row],[Price]]</f>
        <v>360</v>
      </c>
    </row>
    <row r="22" spans="1:7" x14ac:dyDescent="0.3">
      <c r="A22" s="1">
        <v>43284</v>
      </c>
      <c r="B22" t="s">
        <v>10</v>
      </c>
      <c r="C22" t="s">
        <v>13</v>
      </c>
      <c r="D22">
        <v>16</v>
      </c>
      <c r="E22">
        <v>80</v>
      </c>
      <c r="F22">
        <v>0.09</v>
      </c>
      <c r="G22">
        <f>DataInTable_1[[#This Row],[Quantity]]*DataInTable_1[[#This Row],[Price]]</f>
        <v>1280</v>
      </c>
    </row>
    <row r="23" spans="1:7" x14ac:dyDescent="0.3">
      <c r="A23" s="1">
        <v>43284</v>
      </c>
      <c r="B23" t="s">
        <v>10</v>
      </c>
      <c r="C23" t="s">
        <v>15</v>
      </c>
      <c r="D23">
        <v>10</v>
      </c>
      <c r="E23">
        <v>80</v>
      </c>
      <c r="F23">
        <v>0.08</v>
      </c>
      <c r="G23">
        <f>DataInTable_1[[#This Row],[Quantity]]*DataInTable_1[[#This Row],[Price]]</f>
        <v>800</v>
      </c>
    </row>
    <row r="24" spans="1:7" x14ac:dyDescent="0.3">
      <c r="A24" s="1">
        <v>43284</v>
      </c>
      <c r="B24" t="s">
        <v>9</v>
      </c>
      <c r="C24" t="s">
        <v>15</v>
      </c>
      <c r="D24">
        <v>12</v>
      </c>
      <c r="E24">
        <v>16</v>
      </c>
      <c r="F24">
        <v>0.11</v>
      </c>
      <c r="G24">
        <f>DataInTable_1[[#This Row],[Quantity]]*DataInTable_1[[#This Row],[Price]]</f>
        <v>192</v>
      </c>
    </row>
    <row r="25" spans="1:7" x14ac:dyDescent="0.3">
      <c r="A25" s="1">
        <v>43284</v>
      </c>
      <c r="B25" t="s">
        <v>7</v>
      </c>
      <c r="C25" t="s">
        <v>14</v>
      </c>
      <c r="D25">
        <v>6</v>
      </c>
      <c r="E25">
        <v>150</v>
      </c>
      <c r="F25">
        <v>0.03</v>
      </c>
      <c r="G25">
        <f>DataInTable_1[[#This Row],[Quantity]]*DataInTable_1[[#This Row],[Price]]</f>
        <v>900</v>
      </c>
    </row>
    <row r="26" spans="1:7" x14ac:dyDescent="0.3">
      <c r="A26" s="1">
        <v>43284</v>
      </c>
      <c r="B26" t="s">
        <v>9</v>
      </c>
      <c r="C26" t="s">
        <v>15</v>
      </c>
      <c r="D26">
        <v>11</v>
      </c>
      <c r="E26">
        <v>16</v>
      </c>
      <c r="F26">
        <v>0.04</v>
      </c>
      <c r="G26">
        <f>DataInTable_1[[#This Row],[Quantity]]*DataInTable_1[[#This Row],[Price]]</f>
        <v>176</v>
      </c>
    </row>
    <row r="27" spans="1:7" x14ac:dyDescent="0.3">
      <c r="A27" s="1">
        <v>43284</v>
      </c>
      <c r="B27" t="s">
        <v>10</v>
      </c>
      <c r="C27" t="s">
        <v>14</v>
      </c>
      <c r="D27">
        <v>22</v>
      </c>
      <c r="E27">
        <v>80</v>
      </c>
      <c r="F27">
        <v>0.03</v>
      </c>
      <c r="G27">
        <f>DataInTable_1[[#This Row],[Quantity]]*DataInTable_1[[#This Row],[Price]]</f>
        <v>1760</v>
      </c>
    </row>
    <row r="28" spans="1:7" x14ac:dyDescent="0.3">
      <c r="A28" s="1">
        <v>43284</v>
      </c>
      <c r="B28" t="s">
        <v>9</v>
      </c>
      <c r="C28" t="s">
        <v>12</v>
      </c>
      <c r="D28">
        <v>7</v>
      </c>
      <c r="E28">
        <v>16</v>
      </c>
      <c r="F28">
        <v>0.08</v>
      </c>
      <c r="G28">
        <f>DataInTable_1[[#This Row],[Quantity]]*DataInTable_1[[#This Row],[Price]]</f>
        <v>112</v>
      </c>
    </row>
    <row r="29" spans="1:7" x14ac:dyDescent="0.3">
      <c r="A29" s="1">
        <v>43284</v>
      </c>
      <c r="B29" t="s">
        <v>8</v>
      </c>
      <c r="C29" t="s">
        <v>14</v>
      </c>
      <c r="D29">
        <v>13</v>
      </c>
      <c r="E29">
        <v>40</v>
      </c>
      <c r="F29">
        <v>0.09</v>
      </c>
      <c r="G29">
        <f>DataInTable_1[[#This Row],[Quantity]]*DataInTable_1[[#This Row],[Price]]</f>
        <v>520</v>
      </c>
    </row>
    <row r="30" spans="1:7" x14ac:dyDescent="0.3">
      <c r="A30" s="1">
        <v>43284</v>
      </c>
      <c r="B30" t="s">
        <v>6</v>
      </c>
      <c r="C30" t="s">
        <v>14</v>
      </c>
      <c r="D30">
        <v>8</v>
      </c>
      <c r="E30">
        <v>230</v>
      </c>
      <c r="F30">
        <v>0.05</v>
      </c>
      <c r="G30">
        <f>DataInTable_1[[#This Row],[Quantity]]*DataInTable_1[[#This Row],[Price]]</f>
        <v>1840</v>
      </c>
    </row>
    <row r="31" spans="1:7" x14ac:dyDescent="0.3">
      <c r="A31" s="1">
        <v>43284</v>
      </c>
      <c r="B31" t="s">
        <v>9</v>
      </c>
      <c r="C31" t="s">
        <v>14</v>
      </c>
      <c r="D31">
        <v>14</v>
      </c>
      <c r="E31">
        <v>16</v>
      </c>
      <c r="F31">
        <v>0.12</v>
      </c>
      <c r="G31">
        <f>DataInTable_1[[#This Row],[Quantity]]*DataInTable_1[[#This Row],[Price]]</f>
        <v>224</v>
      </c>
    </row>
    <row r="32" spans="1:7" x14ac:dyDescent="0.3">
      <c r="A32" s="1">
        <v>43284</v>
      </c>
      <c r="B32" t="s">
        <v>8</v>
      </c>
      <c r="C32" t="s">
        <v>13</v>
      </c>
      <c r="D32">
        <v>16</v>
      </c>
      <c r="E32">
        <v>40</v>
      </c>
      <c r="F32">
        <v>0.09</v>
      </c>
      <c r="G32">
        <f>DataInTable_1[[#This Row],[Quantity]]*DataInTable_1[[#This Row],[Price]]</f>
        <v>640</v>
      </c>
    </row>
    <row r="33" spans="1:7" x14ac:dyDescent="0.3">
      <c r="A33" s="1">
        <v>43285</v>
      </c>
      <c r="B33" t="s">
        <v>7</v>
      </c>
      <c r="C33" t="s">
        <v>12</v>
      </c>
      <c r="D33">
        <v>16</v>
      </c>
      <c r="E33">
        <v>150</v>
      </c>
      <c r="F33">
        <v>0.05</v>
      </c>
      <c r="G33">
        <f>DataInTable_1[[#This Row],[Quantity]]*DataInTable_1[[#This Row],[Price]]</f>
        <v>2400</v>
      </c>
    </row>
    <row r="34" spans="1:7" x14ac:dyDescent="0.3">
      <c r="A34" s="1">
        <v>43285</v>
      </c>
      <c r="B34" t="s">
        <v>8</v>
      </c>
      <c r="C34" t="s">
        <v>12</v>
      </c>
      <c r="D34">
        <v>12</v>
      </c>
      <c r="E34">
        <v>40</v>
      </c>
      <c r="F34">
        <v>0.1</v>
      </c>
      <c r="G34">
        <f>DataInTable_1[[#This Row],[Quantity]]*DataInTable_1[[#This Row],[Price]]</f>
        <v>480</v>
      </c>
    </row>
    <row r="35" spans="1:7" x14ac:dyDescent="0.3">
      <c r="A35" s="1">
        <v>43285</v>
      </c>
      <c r="B35" t="s">
        <v>10</v>
      </c>
      <c r="C35" t="s">
        <v>13</v>
      </c>
      <c r="D35">
        <v>17</v>
      </c>
      <c r="E35">
        <v>80</v>
      </c>
      <c r="F35">
        <v>7.0000000000000007E-2</v>
      </c>
      <c r="G35">
        <f>DataInTable_1[[#This Row],[Quantity]]*DataInTable_1[[#This Row],[Price]]</f>
        <v>1360</v>
      </c>
    </row>
    <row r="36" spans="1:7" x14ac:dyDescent="0.3">
      <c r="A36" s="1">
        <v>43285</v>
      </c>
      <c r="B36" t="s">
        <v>6</v>
      </c>
      <c r="C36" t="s">
        <v>14</v>
      </c>
      <c r="D36">
        <v>19</v>
      </c>
      <c r="E36">
        <v>230</v>
      </c>
      <c r="F36">
        <v>0.06</v>
      </c>
      <c r="G36">
        <f>DataInTable_1[[#This Row],[Quantity]]*DataInTable_1[[#This Row],[Price]]</f>
        <v>4370</v>
      </c>
    </row>
    <row r="37" spans="1:7" x14ac:dyDescent="0.3">
      <c r="A37" s="1">
        <v>43285</v>
      </c>
      <c r="B37" t="s">
        <v>6</v>
      </c>
      <c r="C37" t="s">
        <v>13</v>
      </c>
      <c r="D37">
        <v>22</v>
      </c>
      <c r="E37">
        <v>230</v>
      </c>
      <c r="F37">
        <v>0.1</v>
      </c>
      <c r="G37">
        <f>DataInTable_1[[#This Row],[Quantity]]*DataInTable_1[[#This Row],[Price]]</f>
        <v>5060</v>
      </c>
    </row>
    <row r="38" spans="1:7" x14ac:dyDescent="0.3">
      <c r="A38" s="1">
        <v>43285</v>
      </c>
      <c r="B38" t="s">
        <v>8</v>
      </c>
      <c r="C38" t="s">
        <v>14</v>
      </c>
      <c r="D38">
        <v>22</v>
      </c>
      <c r="E38">
        <v>40</v>
      </c>
      <c r="F38">
        <v>0.01</v>
      </c>
      <c r="G38">
        <f>DataInTable_1[[#This Row],[Quantity]]*DataInTable_1[[#This Row],[Price]]</f>
        <v>880</v>
      </c>
    </row>
    <row r="39" spans="1:7" x14ac:dyDescent="0.3">
      <c r="A39" s="1">
        <v>43285</v>
      </c>
      <c r="B39" t="s">
        <v>9</v>
      </c>
      <c r="C39" t="s">
        <v>14</v>
      </c>
      <c r="D39">
        <v>10</v>
      </c>
      <c r="E39">
        <v>16</v>
      </c>
      <c r="F39">
        <v>0.04</v>
      </c>
      <c r="G39">
        <f>DataInTable_1[[#This Row],[Quantity]]*DataInTable_1[[#This Row],[Price]]</f>
        <v>160</v>
      </c>
    </row>
    <row r="40" spans="1:7" x14ac:dyDescent="0.3">
      <c r="A40" s="1">
        <v>43285</v>
      </c>
      <c r="B40" t="s">
        <v>8</v>
      </c>
      <c r="C40" t="s">
        <v>12</v>
      </c>
      <c r="D40">
        <v>4</v>
      </c>
      <c r="E40">
        <v>40</v>
      </c>
      <c r="F40">
        <v>0.12</v>
      </c>
      <c r="G40">
        <f>DataInTable_1[[#This Row],[Quantity]]*DataInTable_1[[#This Row],[Price]]</f>
        <v>160</v>
      </c>
    </row>
    <row r="41" spans="1:7" x14ac:dyDescent="0.3">
      <c r="A41" s="1">
        <v>43285</v>
      </c>
      <c r="B41" t="s">
        <v>8</v>
      </c>
      <c r="C41" t="s">
        <v>13</v>
      </c>
      <c r="D41">
        <v>20</v>
      </c>
      <c r="E41">
        <v>40</v>
      </c>
      <c r="F41">
        <v>0.05</v>
      </c>
      <c r="G41">
        <f>DataInTable_1[[#This Row],[Quantity]]*DataInTable_1[[#This Row],[Price]]</f>
        <v>800</v>
      </c>
    </row>
    <row r="42" spans="1:7" x14ac:dyDescent="0.3">
      <c r="A42" s="1">
        <v>43286</v>
      </c>
      <c r="B42" t="s">
        <v>6</v>
      </c>
      <c r="C42" t="s">
        <v>14</v>
      </c>
      <c r="D42">
        <v>23</v>
      </c>
      <c r="E42">
        <v>230</v>
      </c>
      <c r="F42">
        <v>0.06</v>
      </c>
      <c r="G42">
        <f>DataInTable_1[[#This Row],[Quantity]]*DataInTable_1[[#This Row],[Price]]</f>
        <v>5290</v>
      </c>
    </row>
    <row r="43" spans="1:7" x14ac:dyDescent="0.3">
      <c r="A43" s="1">
        <v>43286</v>
      </c>
      <c r="B43" t="s">
        <v>8</v>
      </c>
      <c r="C43" t="s">
        <v>15</v>
      </c>
      <c r="D43">
        <v>20</v>
      </c>
      <c r="E43">
        <v>40</v>
      </c>
      <c r="F43">
        <v>0.01</v>
      </c>
      <c r="G43">
        <f>DataInTable_1[[#This Row],[Quantity]]*DataInTable_1[[#This Row],[Price]]</f>
        <v>800</v>
      </c>
    </row>
    <row r="44" spans="1:7" x14ac:dyDescent="0.3">
      <c r="A44" s="1">
        <v>43286</v>
      </c>
      <c r="B44" t="s">
        <v>7</v>
      </c>
      <c r="C44" t="s">
        <v>15</v>
      </c>
      <c r="D44">
        <v>20</v>
      </c>
      <c r="E44">
        <v>150</v>
      </c>
      <c r="F44">
        <v>0.04</v>
      </c>
      <c r="G44">
        <f>DataInTable_1[[#This Row],[Quantity]]*DataInTable_1[[#This Row],[Price]]</f>
        <v>3000</v>
      </c>
    </row>
    <row r="45" spans="1:7" x14ac:dyDescent="0.3">
      <c r="A45" s="1">
        <v>43286</v>
      </c>
      <c r="B45" t="s">
        <v>10</v>
      </c>
      <c r="C45" t="s">
        <v>12</v>
      </c>
      <c r="D45">
        <v>9</v>
      </c>
      <c r="E45">
        <v>80</v>
      </c>
      <c r="F45">
        <v>0.03</v>
      </c>
      <c r="G45">
        <f>DataInTable_1[[#This Row],[Quantity]]*DataInTable_1[[#This Row],[Price]]</f>
        <v>720</v>
      </c>
    </row>
    <row r="46" spans="1:7" x14ac:dyDescent="0.3">
      <c r="A46" s="1">
        <v>43286</v>
      </c>
      <c r="B46" t="s">
        <v>6</v>
      </c>
      <c r="C46" t="s">
        <v>11</v>
      </c>
      <c r="D46">
        <v>7</v>
      </c>
      <c r="E46">
        <v>230</v>
      </c>
      <c r="F46">
        <v>0.02</v>
      </c>
      <c r="G46">
        <f>DataInTable_1[[#This Row],[Quantity]]*DataInTable_1[[#This Row],[Price]]</f>
        <v>1610</v>
      </c>
    </row>
    <row r="47" spans="1:7" x14ac:dyDescent="0.3">
      <c r="A47" s="1">
        <v>43286</v>
      </c>
      <c r="B47" t="s">
        <v>6</v>
      </c>
      <c r="C47" t="s">
        <v>11</v>
      </c>
      <c r="D47">
        <v>3</v>
      </c>
      <c r="E47">
        <v>230</v>
      </c>
      <c r="F47">
        <v>0.06</v>
      </c>
      <c r="G47">
        <f>DataInTable_1[[#This Row],[Quantity]]*DataInTable_1[[#This Row],[Price]]</f>
        <v>690</v>
      </c>
    </row>
    <row r="48" spans="1:7" x14ac:dyDescent="0.3">
      <c r="A48" s="1">
        <v>43286</v>
      </c>
      <c r="B48" t="s">
        <v>7</v>
      </c>
      <c r="C48" t="s">
        <v>11</v>
      </c>
      <c r="D48">
        <v>13</v>
      </c>
      <c r="E48">
        <v>150</v>
      </c>
      <c r="F48">
        <v>0.05</v>
      </c>
      <c r="G48">
        <f>DataInTable_1[[#This Row],[Quantity]]*DataInTable_1[[#This Row],[Price]]</f>
        <v>1950</v>
      </c>
    </row>
    <row r="49" spans="1:7" x14ac:dyDescent="0.3">
      <c r="A49" s="1">
        <v>43286</v>
      </c>
      <c r="B49" t="s">
        <v>10</v>
      </c>
      <c r="C49" t="s">
        <v>11</v>
      </c>
      <c r="D49">
        <v>17</v>
      </c>
      <c r="E49">
        <v>80</v>
      </c>
      <c r="F49">
        <v>0.09</v>
      </c>
      <c r="G49">
        <f>DataInTable_1[[#This Row],[Quantity]]*DataInTable_1[[#This Row],[Price]]</f>
        <v>1360</v>
      </c>
    </row>
    <row r="50" spans="1:7" x14ac:dyDescent="0.3">
      <c r="A50" s="1">
        <v>43287</v>
      </c>
      <c r="B50" t="s">
        <v>8</v>
      </c>
      <c r="C50" t="s">
        <v>14</v>
      </c>
      <c r="D50">
        <v>18</v>
      </c>
      <c r="E50">
        <v>40</v>
      </c>
      <c r="F50">
        <v>0.06</v>
      </c>
      <c r="G50">
        <f>DataInTable_1[[#This Row],[Quantity]]*DataInTable_1[[#This Row],[Price]]</f>
        <v>720</v>
      </c>
    </row>
    <row r="51" spans="1:7" x14ac:dyDescent="0.3">
      <c r="A51" s="1">
        <v>43287</v>
      </c>
      <c r="B51" t="s">
        <v>9</v>
      </c>
      <c r="C51" t="s">
        <v>15</v>
      </c>
      <c r="D51">
        <v>23</v>
      </c>
      <c r="E51">
        <v>16</v>
      </c>
      <c r="F51">
        <v>0.11</v>
      </c>
      <c r="G51">
        <f>DataInTable_1[[#This Row],[Quantity]]*DataInTable_1[[#This Row],[Price]]</f>
        <v>368</v>
      </c>
    </row>
    <row r="52" spans="1:7" x14ac:dyDescent="0.3">
      <c r="A52" s="1">
        <v>43287</v>
      </c>
      <c r="B52" t="s">
        <v>6</v>
      </c>
      <c r="C52" t="s">
        <v>15</v>
      </c>
      <c r="D52">
        <v>20</v>
      </c>
      <c r="E52">
        <v>230</v>
      </c>
      <c r="F52">
        <v>0.06</v>
      </c>
      <c r="G52">
        <f>DataInTable_1[[#This Row],[Quantity]]*DataInTable_1[[#This Row],[Price]]</f>
        <v>4600</v>
      </c>
    </row>
    <row r="53" spans="1:7" x14ac:dyDescent="0.3">
      <c r="A53" s="1">
        <v>43287</v>
      </c>
      <c r="B53" t="s">
        <v>9</v>
      </c>
      <c r="C53" t="s">
        <v>11</v>
      </c>
      <c r="D53">
        <v>11</v>
      </c>
      <c r="E53">
        <v>16</v>
      </c>
      <c r="F53">
        <v>0.09</v>
      </c>
      <c r="G53">
        <f>DataInTable_1[[#This Row],[Quantity]]*DataInTable_1[[#This Row],[Price]]</f>
        <v>176</v>
      </c>
    </row>
    <row r="54" spans="1:7" x14ac:dyDescent="0.3">
      <c r="A54" s="1">
        <v>43287</v>
      </c>
      <c r="B54" t="s">
        <v>7</v>
      </c>
      <c r="C54" t="s">
        <v>13</v>
      </c>
      <c r="D54">
        <v>15</v>
      </c>
      <c r="E54">
        <v>150</v>
      </c>
      <c r="F54">
        <v>7.0000000000000007E-2</v>
      </c>
      <c r="G54">
        <f>DataInTable_1[[#This Row],[Quantity]]*DataInTable_1[[#This Row],[Price]]</f>
        <v>2250</v>
      </c>
    </row>
    <row r="55" spans="1:7" x14ac:dyDescent="0.3">
      <c r="A55" s="1">
        <v>43287</v>
      </c>
      <c r="B55" t="s">
        <v>6</v>
      </c>
      <c r="C55" t="s">
        <v>12</v>
      </c>
      <c r="D55">
        <v>6</v>
      </c>
      <c r="E55">
        <v>230</v>
      </c>
      <c r="F55">
        <v>0.1</v>
      </c>
      <c r="G55">
        <f>DataInTable_1[[#This Row],[Quantity]]*DataInTable_1[[#This Row],[Price]]</f>
        <v>1380</v>
      </c>
    </row>
    <row r="56" spans="1:7" x14ac:dyDescent="0.3">
      <c r="A56" s="1">
        <v>43287</v>
      </c>
      <c r="B56" t="s">
        <v>8</v>
      </c>
      <c r="C56" t="s">
        <v>11</v>
      </c>
      <c r="D56">
        <v>22</v>
      </c>
      <c r="E56">
        <v>40</v>
      </c>
      <c r="F56">
        <v>0.02</v>
      </c>
      <c r="G56">
        <f>DataInTable_1[[#This Row],[Quantity]]*DataInTable_1[[#This Row],[Price]]</f>
        <v>880</v>
      </c>
    </row>
    <row r="57" spans="1:7" x14ac:dyDescent="0.3">
      <c r="A57" s="1">
        <v>43287</v>
      </c>
      <c r="B57" t="s">
        <v>8</v>
      </c>
      <c r="C57" t="s">
        <v>11</v>
      </c>
      <c r="D57">
        <v>15</v>
      </c>
      <c r="E57">
        <v>40</v>
      </c>
      <c r="F57">
        <v>0.06</v>
      </c>
      <c r="G57">
        <f>DataInTable_1[[#This Row],[Quantity]]*DataInTable_1[[#This Row],[Price]]</f>
        <v>600</v>
      </c>
    </row>
    <row r="58" spans="1:7" x14ac:dyDescent="0.3">
      <c r="A58" s="1">
        <v>43287</v>
      </c>
      <c r="B58" t="s">
        <v>9</v>
      </c>
      <c r="C58" t="s">
        <v>15</v>
      </c>
      <c r="D58">
        <v>12</v>
      </c>
      <c r="E58">
        <v>16</v>
      </c>
      <c r="F58">
        <v>0.03</v>
      </c>
      <c r="G58">
        <f>DataInTable_1[[#This Row],[Quantity]]*DataInTable_1[[#This Row],[Price]]</f>
        <v>192</v>
      </c>
    </row>
    <row r="59" spans="1:7" x14ac:dyDescent="0.3">
      <c r="A59" s="1">
        <v>43287</v>
      </c>
      <c r="B59" t="s">
        <v>9</v>
      </c>
      <c r="C59" t="s">
        <v>13</v>
      </c>
      <c r="D59">
        <v>22</v>
      </c>
      <c r="E59">
        <v>16</v>
      </c>
      <c r="F59">
        <v>0.12</v>
      </c>
      <c r="G59">
        <f>DataInTable_1[[#This Row],[Quantity]]*DataInTable_1[[#This Row],[Price]]</f>
        <v>352</v>
      </c>
    </row>
    <row r="60" spans="1:7" x14ac:dyDescent="0.3">
      <c r="A60" s="1">
        <v>43287</v>
      </c>
      <c r="B60" t="s">
        <v>10</v>
      </c>
      <c r="C60" t="s">
        <v>11</v>
      </c>
      <c r="D60">
        <v>21</v>
      </c>
      <c r="E60">
        <v>80</v>
      </c>
      <c r="F60">
        <v>0.04</v>
      </c>
      <c r="G60">
        <f>DataInTable_1[[#This Row],[Quantity]]*DataInTable_1[[#This Row],[Price]]</f>
        <v>1680</v>
      </c>
    </row>
    <row r="61" spans="1:7" x14ac:dyDescent="0.3">
      <c r="A61" s="1">
        <v>43287</v>
      </c>
      <c r="B61" t="s">
        <v>7</v>
      </c>
      <c r="C61" t="s">
        <v>11</v>
      </c>
      <c r="D61">
        <v>22</v>
      </c>
      <c r="E61">
        <v>150</v>
      </c>
      <c r="F61">
        <v>0.05</v>
      </c>
      <c r="G61">
        <f>DataInTable_1[[#This Row],[Quantity]]*DataInTable_1[[#This Row],[Price]]</f>
        <v>3300</v>
      </c>
    </row>
    <row r="62" spans="1:7" x14ac:dyDescent="0.3">
      <c r="A62" s="1">
        <v>43287</v>
      </c>
      <c r="B62" t="s">
        <v>10</v>
      </c>
      <c r="C62" t="s">
        <v>13</v>
      </c>
      <c r="D62">
        <v>21</v>
      </c>
      <c r="E62">
        <v>80</v>
      </c>
      <c r="F62">
        <v>0.09</v>
      </c>
      <c r="G62">
        <f>DataInTable_1[[#This Row],[Quantity]]*DataInTable_1[[#This Row],[Price]]</f>
        <v>1680</v>
      </c>
    </row>
    <row r="63" spans="1:7" x14ac:dyDescent="0.3">
      <c r="A63" s="1">
        <v>43287</v>
      </c>
      <c r="B63" t="s">
        <v>10</v>
      </c>
      <c r="C63" t="s">
        <v>14</v>
      </c>
      <c r="D63">
        <v>10</v>
      </c>
      <c r="E63">
        <v>80</v>
      </c>
      <c r="F63">
        <v>0.1</v>
      </c>
      <c r="G63">
        <f>DataInTable_1[[#This Row],[Quantity]]*DataInTable_1[[#This Row],[Price]]</f>
        <v>800</v>
      </c>
    </row>
    <row r="64" spans="1:7" x14ac:dyDescent="0.3">
      <c r="A64" s="1">
        <v>43287</v>
      </c>
      <c r="B64" t="s">
        <v>6</v>
      </c>
      <c r="C64" t="s">
        <v>12</v>
      </c>
      <c r="D64">
        <v>15</v>
      </c>
      <c r="E64">
        <v>230</v>
      </c>
      <c r="F64">
        <v>0.09</v>
      </c>
      <c r="G64">
        <f>DataInTable_1[[#This Row],[Quantity]]*DataInTable_1[[#This Row],[Price]]</f>
        <v>3450</v>
      </c>
    </row>
    <row r="65" spans="1:7" x14ac:dyDescent="0.3">
      <c r="A65" s="1">
        <v>43288</v>
      </c>
      <c r="B65" t="s">
        <v>10</v>
      </c>
      <c r="C65" t="s">
        <v>11</v>
      </c>
      <c r="D65">
        <v>14</v>
      </c>
      <c r="E65">
        <v>80</v>
      </c>
      <c r="F65">
        <v>0.08</v>
      </c>
      <c r="G65">
        <f>DataInTable_1[[#This Row],[Quantity]]*DataInTable_1[[#This Row],[Price]]</f>
        <v>1120</v>
      </c>
    </row>
    <row r="66" spans="1:7" x14ac:dyDescent="0.3">
      <c r="A66" s="1">
        <v>43288</v>
      </c>
      <c r="B66" t="s">
        <v>10</v>
      </c>
      <c r="C66" t="s">
        <v>13</v>
      </c>
      <c r="D66">
        <v>10</v>
      </c>
      <c r="E66">
        <v>80</v>
      </c>
      <c r="F66">
        <v>0.06</v>
      </c>
      <c r="G66">
        <f>DataInTable_1[[#This Row],[Quantity]]*DataInTable_1[[#This Row],[Price]]</f>
        <v>800</v>
      </c>
    </row>
    <row r="67" spans="1:7" x14ac:dyDescent="0.3">
      <c r="A67" s="1">
        <v>43288</v>
      </c>
      <c r="B67" t="s">
        <v>7</v>
      </c>
      <c r="C67" t="s">
        <v>11</v>
      </c>
      <c r="D67">
        <v>5</v>
      </c>
      <c r="E67">
        <v>150</v>
      </c>
      <c r="F67">
        <v>0.11</v>
      </c>
      <c r="G67">
        <f>DataInTable_1[[#This Row],[Quantity]]*DataInTable_1[[#This Row],[Price]]</f>
        <v>750</v>
      </c>
    </row>
    <row r="68" spans="1:7" x14ac:dyDescent="0.3">
      <c r="A68" s="1">
        <v>43288</v>
      </c>
      <c r="B68" t="s">
        <v>6</v>
      </c>
      <c r="C68" t="s">
        <v>14</v>
      </c>
      <c r="D68">
        <v>3</v>
      </c>
      <c r="E68">
        <v>230</v>
      </c>
      <c r="F68">
        <v>0.01</v>
      </c>
      <c r="G68">
        <f>DataInTable_1[[#This Row],[Quantity]]*DataInTable_1[[#This Row],[Price]]</f>
        <v>690</v>
      </c>
    </row>
    <row r="69" spans="1:7" x14ac:dyDescent="0.3">
      <c r="A69" s="1">
        <v>43288</v>
      </c>
      <c r="B69" t="s">
        <v>8</v>
      </c>
      <c r="C69" t="s">
        <v>14</v>
      </c>
      <c r="D69">
        <v>4</v>
      </c>
      <c r="E69">
        <v>40</v>
      </c>
      <c r="F69">
        <v>0.05</v>
      </c>
      <c r="G69">
        <f>DataInTable_1[[#This Row],[Quantity]]*DataInTable_1[[#This Row],[Price]]</f>
        <v>160</v>
      </c>
    </row>
    <row r="70" spans="1:7" x14ac:dyDescent="0.3">
      <c r="A70" s="1">
        <v>43288</v>
      </c>
      <c r="B70" t="s">
        <v>7</v>
      </c>
      <c r="C70" t="s">
        <v>15</v>
      </c>
      <c r="D70">
        <v>18</v>
      </c>
      <c r="E70">
        <v>150</v>
      </c>
      <c r="F70">
        <v>0.06</v>
      </c>
      <c r="G70">
        <f>DataInTable_1[[#This Row],[Quantity]]*DataInTable_1[[#This Row],[Price]]</f>
        <v>2700</v>
      </c>
    </row>
    <row r="71" spans="1:7" x14ac:dyDescent="0.3">
      <c r="A71" s="1">
        <v>43288</v>
      </c>
      <c r="B71" t="s">
        <v>8</v>
      </c>
      <c r="C71" t="s">
        <v>13</v>
      </c>
      <c r="D71">
        <v>20</v>
      </c>
      <c r="E71">
        <v>40</v>
      </c>
      <c r="F71">
        <v>0.1</v>
      </c>
      <c r="G71">
        <f>DataInTable_1[[#This Row],[Quantity]]*DataInTable_1[[#This Row],[Price]]</f>
        <v>800</v>
      </c>
    </row>
    <row r="72" spans="1:7" x14ac:dyDescent="0.3">
      <c r="A72" s="1">
        <v>43288</v>
      </c>
      <c r="B72" t="s">
        <v>10</v>
      </c>
      <c r="C72" t="s">
        <v>14</v>
      </c>
      <c r="D72">
        <v>16</v>
      </c>
      <c r="E72">
        <v>80</v>
      </c>
      <c r="F72">
        <v>0.05</v>
      </c>
      <c r="G72">
        <f>DataInTable_1[[#This Row],[Quantity]]*DataInTable_1[[#This Row],[Price]]</f>
        <v>1280</v>
      </c>
    </row>
    <row r="73" spans="1:7" x14ac:dyDescent="0.3">
      <c r="A73" s="1">
        <v>43288</v>
      </c>
      <c r="B73" t="s">
        <v>8</v>
      </c>
      <c r="C73" t="s">
        <v>15</v>
      </c>
      <c r="D73">
        <v>4</v>
      </c>
      <c r="E73">
        <v>40</v>
      </c>
      <c r="F73">
        <v>0.06</v>
      </c>
      <c r="G73">
        <f>DataInTable_1[[#This Row],[Quantity]]*DataInTable_1[[#This Row],[Price]]</f>
        <v>160</v>
      </c>
    </row>
    <row r="74" spans="1:7" x14ac:dyDescent="0.3">
      <c r="A74" s="1">
        <v>43288</v>
      </c>
      <c r="B74" t="s">
        <v>8</v>
      </c>
      <c r="C74" t="s">
        <v>12</v>
      </c>
      <c r="D74">
        <v>4</v>
      </c>
      <c r="E74">
        <v>40</v>
      </c>
      <c r="F74">
        <v>0.03</v>
      </c>
      <c r="G74">
        <f>DataInTable_1[[#This Row],[Quantity]]*DataInTable_1[[#This Row],[Price]]</f>
        <v>160</v>
      </c>
    </row>
    <row r="75" spans="1:7" x14ac:dyDescent="0.3">
      <c r="A75" s="1">
        <v>43288</v>
      </c>
      <c r="B75" t="s">
        <v>8</v>
      </c>
      <c r="C75" t="s">
        <v>12</v>
      </c>
      <c r="D75">
        <v>15</v>
      </c>
      <c r="E75">
        <v>40</v>
      </c>
      <c r="F75">
        <v>0.02</v>
      </c>
      <c r="G75">
        <f>DataInTable_1[[#This Row],[Quantity]]*DataInTable_1[[#This Row],[Price]]</f>
        <v>600</v>
      </c>
    </row>
    <row r="76" spans="1:7" x14ac:dyDescent="0.3">
      <c r="A76" s="1">
        <v>43288</v>
      </c>
      <c r="B76" t="s">
        <v>8</v>
      </c>
      <c r="C76" t="s">
        <v>15</v>
      </c>
      <c r="D76">
        <v>20</v>
      </c>
      <c r="E76">
        <v>40</v>
      </c>
      <c r="F76">
        <v>0.01</v>
      </c>
      <c r="G76">
        <f>DataInTable_1[[#This Row],[Quantity]]*DataInTable_1[[#This Row],[Price]]</f>
        <v>800</v>
      </c>
    </row>
    <row r="77" spans="1:7" x14ac:dyDescent="0.3">
      <c r="A77" s="1">
        <v>43288</v>
      </c>
      <c r="B77" t="s">
        <v>9</v>
      </c>
      <c r="C77" t="s">
        <v>13</v>
      </c>
      <c r="D77">
        <v>14</v>
      </c>
      <c r="E77">
        <v>16</v>
      </c>
      <c r="F77">
        <v>0.06</v>
      </c>
      <c r="G77">
        <f>DataInTable_1[[#This Row],[Quantity]]*DataInTable_1[[#This Row],[Price]]</f>
        <v>224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14999847407452621"/>
  </sheetPr>
  <dimension ref="A2:S328"/>
  <sheetViews>
    <sheetView topLeftCell="C1" workbookViewId="0">
      <selection activeCell="I20" sqref="I20"/>
    </sheetView>
  </sheetViews>
  <sheetFormatPr defaultRowHeight="14.4" x14ac:dyDescent="0.3"/>
  <cols>
    <col min="1" max="1" width="10.33203125" bestFit="1" customWidth="1"/>
    <col min="3" max="3" width="10.77734375" customWidth="1"/>
    <col min="4" max="4" width="10.21875" customWidth="1"/>
    <col min="6" max="6" width="13.109375" customWidth="1"/>
    <col min="7" max="7" width="10.109375" bestFit="1" customWidth="1"/>
    <col min="9" max="9" width="12.5546875" bestFit="1" customWidth="1"/>
    <col min="10" max="10" width="16.44140625" bestFit="1" customWidth="1"/>
    <col min="11" max="11" width="9.5546875" bestFit="1" customWidth="1"/>
    <col min="12" max="12" width="12.5546875" bestFit="1" customWidth="1"/>
    <col min="13" max="13" width="16.44140625" bestFit="1" customWidth="1"/>
    <col min="15" max="15" width="12.5546875" bestFit="1" customWidth="1"/>
    <col min="16" max="16" width="16.44140625" bestFit="1" customWidth="1"/>
    <col min="18" max="18" width="12.5546875" bestFit="1" customWidth="1"/>
    <col min="19" max="19" width="16.44140625" bestFit="1" customWidth="1"/>
  </cols>
  <sheetData>
    <row r="2" spans="1:19" x14ac:dyDescent="0.3">
      <c r="A2" s="26" t="s">
        <v>16</v>
      </c>
      <c r="B2" s="26"/>
      <c r="C2" s="26"/>
      <c r="D2" s="26"/>
      <c r="E2" s="26"/>
      <c r="F2" s="26"/>
    </row>
    <row r="3" spans="1:19" x14ac:dyDescent="0.3">
      <c r="I3" t="s">
        <v>32</v>
      </c>
      <c r="L3" t="s">
        <v>33</v>
      </c>
      <c r="O3" t="s">
        <v>34</v>
      </c>
      <c r="R3" t="s">
        <v>35</v>
      </c>
    </row>
    <row r="4" spans="1:19" x14ac:dyDescent="0.3">
      <c r="A4" t="s">
        <v>0</v>
      </c>
      <c r="B4" t="s">
        <v>1</v>
      </c>
      <c r="C4" t="s">
        <v>4</v>
      </c>
      <c r="D4" t="s">
        <v>2</v>
      </c>
      <c r="E4" t="s">
        <v>3</v>
      </c>
      <c r="F4" t="s">
        <v>5</v>
      </c>
      <c r="G4" t="s">
        <v>20</v>
      </c>
      <c r="I4" s="3" t="s">
        <v>17</v>
      </c>
      <c r="J4" t="s">
        <v>21</v>
      </c>
      <c r="L4" s="3" t="s">
        <v>17</v>
      </c>
      <c r="M4" t="s">
        <v>21</v>
      </c>
      <c r="O4" s="3" t="s">
        <v>17</v>
      </c>
      <c r="P4" t="s">
        <v>21</v>
      </c>
      <c r="R4" s="3" t="s">
        <v>17</v>
      </c>
      <c r="S4" t="s">
        <v>21</v>
      </c>
    </row>
    <row r="5" spans="1:19" x14ac:dyDescent="0.3">
      <c r="A5" s="1">
        <v>43282</v>
      </c>
      <c r="B5" t="s">
        <v>10</v>
      </c>
      <c r="C5" t="s">
        <v>11</v>
      </c>
      <c r="D5">
        <v>6</v>
      </c>
      <c r="E5">
        <v>80</v>
      </c>
      <c r="F5" s="2">
        <v>0.01</v>
      </c>
      <c r="G5" s="14">
        <f>DataInTable[[#This Row],[Quantity]]*DataInTable[[#This Row],[Price]]</f>
        <v>480</v>
      </c>
      <c r="I5" s="6">
        <v>43282</v>
      </c>
      <c r="J5" s="15">
        <v>18488</v>
      </c>
      <c r="L5" s="6">
        <v>43289</v>
      </c>
      <c r="M5" s="15">
        <v>9736</v>
      </c>
      <c r="O5" s="6">
        <v>43296</v>
      </c>
      <c r="P5" s="15">
        <v>16610</v>
      </c>
      <c r="R5" s="6">
        <v>43303</v>
      </c>
      <c r="S5" s="15">
        <v>14712</v>
      </c>
    </row>
    <row r="6" spans="1:19" x14ac:dyDescent="0.3">
      <c r="A6" s="1">
        <v>43282</v>
      </c>
      <c r="B6" t="s">
        <v>8</v>
      </c>
      <c r="C6" t="s">
        <v>12</v>
      </c>
      <c r="D6">
        <v>14</v>
      </c>
      <c r="E6">
        <v>40</v>
      </c>
      <c r="F6" s="2">
        <v>0.06</v>
      </c>
      <c r="G6" s="14">
        <f>DataInTable[[#This Row],[Quantity]]*DataInTable[[#This Row],[Price]]</f>
        <v>560</v>
      </c>
      <c r="I6" s="6">
        <v>43283</v>
      </c>
      <c r="J6" s="15">
        <v>8242</v>
      </c>
      <c r="L6" s="6">
        <v>43290</v>
      </c>
      <c r="M6" s="15">
        <v>6008</v>
      </c>
      <c r="O6" s="6">
        <v>43297</v>
      </c>
      <c r="P6" s="15">
        <v>10118</v>
      </c>
      <c r="R6" s="6">
        <v>43304</v>
      </c>
      <c r="S6" s="15">
        <v>16366</v>
      </c>
    </row>
    <row r="7" spans="1:19" x14ac:dyDescent="0.3">
      <c r="A7" s="1">
        <v>43282</v>
      </c>
      <c r="B7" t="s">
        <v>6</v>
      </c>
      <c r="C7" t="s">
        <v>12</v>
      </c>
      <c r="D7">
        <v>22</v>
      </c>
      <c r="E7">
        <v>230</v>
      </c>
      <c r="F7" s="2">
        <v>0.11</v>
      </c>
      <c r="G7" s="14">
        <f>DataInTable[[#This Row],[Quantity]]*DataInTable[[#This Row],[Price]]</f>
        <v>5060</v>
      </c>
      <c r="I7" s="6">
        <v>43284</v>
      </c>
      <c r="J7" s="15">
        <v>9684</v>
      </c>
      <c r="L7" s="6">
        <v>43291</v>
      </c>
      <c r="M7" s="15">
        <v>21958</v>
      </c>
      <c r="O7" s="6">
        <v>43298</v>
      </c>
      <c r="P7" s="15">
        <v>10286</v>
      </c>
      <c r="R7" s="6">
        <v>43305</v>
      </c>
      <c r="S7" s="15">
        <v>22992</v>
      </c>
    </row>
    <row r="8" spans="1:19" x14ac:dyDescent="0.3">
      <c r="A8" s="1">
        <v>43282</v>
      </c>
      <c r="B8" t="s">
        <v>6</v>
      </c>
      <c r="C8" t="s">
        <v>11</v>
      </c>
      <c r="D8">
        <v>8</v>
      </c>
      <c r="E8">
        <v>230</v>
      </c>
      <c r="F8" s="2">
        <v>0.03</v>
      </c>
      <c r="G8" s="14">
        <f>DataInTable[[#This Row],[Quantity]]*DataInTable[[#This Row],[Price]]</f>
        <v>1840</v>
      </c>
      <c r="I8" s="6">
        <v>43285</v>
      </c>
      <c r="J8" s="15">
        <v>15670</v>
      </c>
      <c r="L8" s="6">
        <v>43292</v>
      </c>
      <c r="M8" s="15">
        <v>12820</v>
      </c>
      <c r="O8" s="6">
        <v>43299</v>
      </c>
      <c r="P8" s="15">
        <v>3834</v>
      </c>
      <c r="R8" s="6">
        <v>43306</v>
      </c>
      <c r="S8" s="15">
        <v>29340</v>
      </c>
    </row>
    <row r="9" spans="1:19" x14ac:dyDescent="0.3">
      <c r="A9" s="1">
        <v>43282</v>
      </c>
      <c r="B9" t="s">
        <v>6</v>
      </c>
      <c r="C9" t="s">
        <v>15</v>
      </c>
      <c r="D9">
        <v>12</v>
      </c>
      <c r="E9">
        <v>230</v>
      </c>
      <c r="F9" s="2">
        <v>0.03</v>
      </c>
      <c r="G9" s="14">
        <f>DataInTable[[#This Row],[Quantity]]*DataInTable[[#This Row],[Price]]</f>
        <v>2760</v>
      </c>
      <c r="I9" s="6">
        <v>43286</v>
      </c>
      <c r="J9" s="15">
        <v>15420</v>
      </c>
      <c r="L9" s="6">
        <v>43293</v>
      </c>
      <c r="M9" s="15">
        <v>9386</v>
      </c>
      <c r="O9" s="6">
        <v>43300</v>
      </c>
      <c r="P9" s="15">
        <v>11130</v>
      </c>
      <c r="R9" s="6">
        <v>43307</v>
      </c>
      <c r="S9" s="15">
        <v>16226</v>
      </c>
    </row>
    <row r="10" spans="1:19" x14ac:dyDescent="0.3">
      <c r="A10" s="1">
        <v>43282</v>
      </c>
      <c r="B10" t="s">
        <v>10</v>
      </c>
      <c r="C10" t="s">
        <v>14</v>
      </c>
      <c r="D10">
        <v>19</v>
      </c>
      <c r="E10">
        <v>80</v>
      </c>
      <c r="F10" s="2">
        <v>0.02</v>
      </c>
      <c r="G10" s="14">
        <f>DataInTable[[#This Row],[Quantity]]*DataInTable[[#This Row],[Price]]</f>
        <v>1520</v>
      </c>
      <c r="I10" s="6">
        <v>43287</v>
      </c>
      <c r="J10" s="15">
        <v>22428</v>
      </c>
      <c r="L10" s="6">
        <v>43294</v>
      </c>
      <c r="M10" s="15">
        <v>9186</v>
      </c>
      <c r="O10" s="6">
        <v>43301</v>
      </c>
      <c r="P10" s="15">
        <v>8810</v>
      </c>
      <c r="R10" s="6">
        <v>43308</v>
      </c>
      <c r="S10" s="15">
        <v>12910</v>
      </c>
    </row>
    <row r="11" spans="1:19" x14ac:dyDescent="0.3">
      <c r="A11" s="1">
        <v>43282</v>
      </c>
      <c r="B11" t="s">
        <v>9</v>
      </c>
      <c r="C11" t="s">
        <v>13</v>
      </c>
      <c r="D11">
        <v>17</v>
      </c>
      <c r="E11">
        <v>16</v>
      </c>
      <c r="F11" s="2">
        <v>0.08</v>
      </c>
      <c r="G11" s="14">
        <f>DataInTable[[#This Row],[Quantity]]*DataInTable[[#This Row],[Price]]</f>
        <v>272</v>
      </c>
      <c r="I11" s="6">
        <v>43288</v>
      </c>
      <c r="J11" s="15">
        <v>10244</v>
      </c>
      <c r="L11" s="6">
        <v>43295</v>
      </c>
      <c r="M11" s="15">
        <v>18856</v>
      </c>
      <c r="O11" s="6">
        <v>43302</v>
      </c>
      <c r="P11" s="15">
        <v>8772</v>
      </c>
      <c r="R11" s="6">
        <v>43309</v>
      </c>
      <c r="S11" s="15">
        <v>6718</v>
      </c>
    </row>
    <row r="12" spans="1:19" x14ac:dyDescent="0.3">
      <c r="A12" s="1">
        <v>43282</v>
      </c>
      <c r="B12" t="s">
        <v>7</v>
      </c>
      <c r="C12" t="s">
        <v>14</v>
      </c>
      <c r="D12">
        <v>7</v>
      </c>
      <c r="E12">
        <v>150</v>
      </c>
      <c r="F12" s="2">
        <v>0.05</v>
      </c>
      <c r="G12" s="14">
        <f>DataInTable[[#This Row],[Quantity]]*DataInTable[[#This Row],[Price]]</f>
        <v>1050</v>
      </c>
      <c r="I12" s="6" t="s">
        <v>18</v>
      </c>
      <c r="J12" s="15">
        <v>100176</v>
      </c>
      <c r="L12" s="6" t="s">
        <v>18</v>
      </c>
      <c r="M12" s="15">
        <v>87950</v>
      </c>
      <c r="O12" s="6" t="s">
        <v>18</v>
      </c>
      <c r="P12" s="15">
        <v>69560</v>
      </c>
      <c r="R12" s="6">
        <v>43310</v>
      </c>
      <c r="S12" s="15">
        <v>7258</v>
      </c>
    </row>
    <row r="13" spans="1:19" x14ac:dyDescent="0.3">
      <c r="A13" s="1">
        <v>43282</v>
      </c>
      <c r="B13" t="s">
        <v>7</v>
      </c>
      <c r="C13" t="s">
        <v>14</v>
      </c>
      <c r="D13">
        <v>20</v>
      </c>
      <c r="E13">
        <v>150</v>
      </c>
      <c r="F13" s="2">
        <v>0.1</v>
      </c>
      <c r="G13" s="14">
        <f>DataInTable[[#This Row],[Quantity]]*DataInTable[[#This Row],[Price]]</f>
        <v>3000</v>
      </c>
      <c r="R13" s="6">
        <v>43311</v>
      </c>
      <c r="S13" s="15">
        <v>11092</v>
      </c>
    </row>
    <row r="14" spans="1:19" x14ac:dyDescent="0.3">
      <c r="A14" s="1">
        <v>43282</v>
      </c>
      <c r="B14" t="s">
        <v>9</v>
      </c>
      <c r="C14" t="s">
        <v>11</v>
      </c>
      <c r="D14">
        <v>21</v>
      </c>
      <c r="E14">
        <v>16</v>
      </c>
      <c r="F14" s="2">
        <v>0.09</v>
      </c>
      <c r="G14" s="14">
        <f>DataInTable[[#This Row],[Quantity]]*DataInTable[[#This Row],[Price]]</f>
        <v>336</v>
      </c>
      <c r="R14" s="6" t="s">
        <v>18</v>
      </c>
      <c r="S14" s="15">
        <v>137614</v>
      </c>
    </row>
    <row r="15" spans="1:19" x14ac:dyDescent="0.3">
      <c r="A15" s="1">
        <v>43282</v>
      </c>
      <c r="B15" t="s">
        <v>6</v>
      </c>
      <c r="C15" t="s">
        <v>12</v>
      </c>
      <c r="D15">
        <v>7</v>
      </c>
      <c r="E15">
        <v>230</v>
      </c>
      <c r="F15" s="2">
        <v>0.01</v>
      </c>
      <c r="G15" s="14">
        <f>DataInTable[[#This Row],[Quantity]]*DataInTable[[#This Row],[Price]]</f>
        <v>1610</v>
      </c>
      <c r="I15" s="19" t="s">
        <v>26</v>
      </c>
      <c r="J15" s="20" t="s">
        <v>36</v>
      </c>
      <c r="K15" s="20" t="s">
        <v>37</v>
      </c>
    </row>
    <row r="16" spans="1:19" ht="16.2" x14ac:dyDescent="0.3">
      <c r="A16" s="1">
        <v>43283</v>
      </c>
      <c r="B16" t="s">
        <v>10</v>
      </c>
      <c r="C16" t="s">
        <v>14</v>
      </c>
      <c r="D16">
        <v>7</v>
      </c>
      <c r="E16">
        <v>80</v>
      </c>
      <c r="F16" s="2">
        <v>7.0000000000000007E-2</v>
      </c>
      <c r="G16" s="14">
        <f>DataInTable[[#This Row],[Quantity]]*DataInTable[[#This Row],[Price]]</f>
        <v>560</v>
      </c>
      <c r="I16" s="16">
        <f>AVERAGE(GETPIVOTDATA("Total Sales",$I$4),GETPIVOTDATA("Total Sales",$L$4),GETPIVOTDATA("Total Sales",$O$4),GETPIVOTDATA("Total Sales",$R$4))</f>
        <v>98825</v>
      </c>
      <c r="J16" s="17">
        <f>MIN(GETPIVOTDATA("Total Sales",$I$4),GETPIVOTDATA("Total Sales",$L$4),GETPIVOTDATA("Total Sales",$O$4),GETPIVOTDATA("Total Sales",$R$4))</f>
        <v>69560</v>
      </c>
      <c r="K16" s="18">
        <f>MAX(GETPIVOTDATA("Total Sales",$I$4),GETPIVOTDATA("Total Sales",$L$4),GETPIVOTDATA("Total Sales",$O$4),GETPIVOTDATA("Total Sales",$R$4))</f>
        <v>137614</v>
      </c>
    </row>
    <row r="17" spans="1:7" x14ac:dyDescent="0.3">
      <c r="A17" s="1">
        <v>43283</v>
      </c>
      <c r="B17" t="s">
        <v>10</v>
      </c>
      <c r="C17" t="s">
        <v>13</v>
      </c>
      <c r="D17">
        <v>9</v>
      </c>
      <c r="E17">
        <v>80</v>
      </c>
      <c r="F17" s="2">
        <v>0.02</v>
      </c>
      <c r="G17" s="14">
        <f>DataInTable[[#This Row],[Quantity]]*DataInTable[[#This Row],[Price]]</f>
        <v>720</v>
      </c>
    </row>
    <row r="18" spans="1:7" x14ac:dyDescent="0.3">
      <c r="A18" s="1">
        <v>43283</v>
      </c>
      <c r="B18" t="s">
        <v>8</v>
      </c>
      <c r="C18" t="s">
        <v>13</v>
      </c>
      <c r="D18">
        <v>16</v>
      </c>
      <c r="E18">
        <v>40</v>
      </c>
      <c r="F18" s="2">
        <v>0.09</v>
      </c>
      <c r="G18" s="14">
        <f>DataInTable[[#This Row],[Quantity]]*DataInTable[[#This Row],[Price]]</f>
        <v>640</v>
      </c>
    </row>
    <row r="19" spans="1:7" x14ac:dyDescent="0.3">
      <c r="A19" s="1">
        <v>43283</v>
      </c>
      <c r="B19" t="s">
        <v>7</v>
      </c>
      <c r="C19" t="s">
        <v>12</v>
      </c>
      <c r="D19">
        <v>23</v>
      </c>
      <c r="E19">
        <v>150</v>
      </c>
      <c r="F19" s="2">
        <v>0.11</v>
      </c>
      <c r="G19" s="14">
        <f>DataInTable[[#This Row],[Quantity]]*DataInTable[[#This Row],[Price]]</f>
        <v>3450</v>
      </c>
    </row>
    <row r="20" spans="1:7" x14ac:dyDescent="0.3">
      <c r="A20" s="1">
        <v>43283</v>
      </c>
      <c r="B20" t="s">
        <v>9</v>
      </c>
      <c r="C20" t="s">
        <v>14</v>
      </c>
      <c r="D20">
        <v>22</v>
      </c>
      <c r="E20">
        <v>16</v>
      </c>
      <c r="F20" s="2">
        <v>0.03</v>
      </c>
      <c r="G20" s="14">
        <f>DataInTable[[#This Row],[Quantity]]*DataInTable[[#This Row],[Price]]</f>
        <v>352</v>
      </c>
    </row>
    <row r="21" spans="1:7" x14ac:dyDescent="0.3">
      <c r="A21" s="1">
        <v>43283</v>
      </c>
      <c r="B21" t="s">
        <v>8</v>
      </c>
      <c r="C21" t="s">
        <v>14</v>
      </c>
      <c r="D21">
        <v>23</v>
      </c>
      <c r="E21">
        <v>40</v>
      </c>
      <c r="F21" s="2">
        <v>0.06</v>
      </c>
      <c r="G21" s="14">
        <f>DataInTable[[#This Row],[Quantity]]*DataInTable[[#This Row],[Price]]</f>
        <v>920</v>
      </c>
    </row>
    <row r="22" spans="1:7" x14ac:dyDescent="0.3">
      <c r="A22" s="1">
        <v>43283</v>
      </c>
      <c r="B22" t="s">
        <v>10</v>
      </c>
      <c r="C22" t="s">
        <v>11</v>
      </c>
      <c r="D22">
        <v>20</v>
      </c>
      <c r="E22">
        <v>80</v>
      </c>
      <c r="F22" s="2">
        <v>0.01</v>
      </c>
      <c r="G22" s="14">
        <f>DataInTable[[#This Row],[Quantity]]*DataInTable[[#This Row],[Price]]</f>
        <v>1600</v>
      </c>
    </row>
    <row r="23" spans="1:7" x14ac:dyDescent="0.3">
      <c r="A23" s="1">
        <v>43284</v>
      </c>
      <c r="B23" t="s">
        <v>10</v>
      </c>
      <c r="C23" t="s">
        <v>14</v>
      </c>
      <c r="D23">
        <v>11</v>
      </c>
      <c r="E23">
        <v>80</v>
      </c>
      <c r="F23" s="2">
        <v>0.01</v>
      </c>
      <c r="G23" s="14">
        <f>DataInTable[[#This Row],[Quantity]]*DataInTable[[#This Row],[Price]]</f>
        <v>880</v>
      </c>
    </row>
    <row r="24" spans="1:7" x14ac:dyDescent="0.3">
      <c r="A24" s="1">
        <v>43284</v>
      </c>
      <c r="B24" t="s">
        <v>8</v>
      </c>
      <c r="C24" t="s">
        <v>14</v>
      </c>
      <c r="D24">
        <v>9</v>
      </c>
      <c r="E24">
        <v>40</v>
      </c>
      <c r="F24" s="2">
        <v>0.06</v>
      </c>
      <c r="G24" s="14">
        <f>DataInTable[[#This Row],[Quantity]]*DataInTable[[#This Row],[Price]]</f>
        <v>360</v>
      </c>
    </row>
    <row r="25" spans="1:7" x14ac:dyDescent="0.3">
      <c r="A25" s="1">
        <v>43284</v>
      </c>
      <c r="B25" t="s">
        <v>10</v>
      </c>
      <c r="C25" t="s">
        <v>13</v>
      </c>
      <c r="D25">
        <v>16</v>
      </c>
      <c r="E25">
        <v>80</v>
      </c>
      <c r="F25" s="2">
        <v>0.09</v>
      </c>
      <c r="G25" s="14">
        <f>DataInTable[[#This Row],[Quantity]]*DataInTable[[#This Row],[Price]]</f>
        <v>1280</v>
      </c>
    </row>
    <row r="26" spans="1:7" x14ac:dyDescent="0.3">
      <c r="A26" s="1">
        <v>43284</v>
      </c>
      <c r="B26" t="s">
        <v>10</v>
      </c>
      <c r="C26" t="s">
        <v>15</v>
      </c>
      <c r="D26">
        <v>10</v>
      </c>
      <c r="E26">
        <v>80</v>
      </c>
      <c r="F26" s="2">
        <v>0.08</v>
      </c>
      <c r="G26" s="14">
        <f>DataInTable[[#This Row],[Quantity]]*DataInTable[[#This Row],[Price]]</f>
        <v>800</v>
      </c>
    </row>
    <row r="27" spans="1:7" x14ac:dyDescent="0.3">
      <c r="A27" s="1">
        <v>43284</v>
      </c>
      <c r="B27" t="s">
        <v>9</v>
      </c>
      <c r="C27" t="s">
        <v>15</v>
      </c>
      <c r="D27">
        <v>12</v>
      </c>
      <c r="E27">
        <v>16</v>
      </c>
      <c r="F27" s="2">
        <v>0.11</v>
      </c>
      <c r="G27" s="14">
        <f>DataInTable[[#This Row],[Quantity]]*DataInTable[[#This Row],[Price]]</f>
        <v>192</v>
      </c>
    </row>
    <row r="28" spans="1:7" x14ac:dyDescent="0.3">
      <c r="A28" s="1">
        <v>43284</v>
      </c>
      <c r="B28" t="s">
        <v>7</v>
      </c>
      <c r="C28" t="s">
        <v>14</v>
      </c>
      <c r="D28">
        <v>6</v>
      </c>
      <c r="E28">
        <v>150</v>
      </c>
      <c r="F28" s="2">
        <v>0.03</v>
      </c>
      <c r="G28" s="14">
        <f>DataInTable[[#This Row],[Quantity]]*DataInTable[[#This Row],[Price]]</f>
        <v>900</v>
      </c>
    </row>
    <row r="29" spans="1:7" x14ac:dyDescent="0.3">
      <c r="A29" s="1">
        <v>43284</v>
      </c>
      <c r="B29" t="s">
        <v>9</v>
      </c>
      <c r="C29" t="s">
        <v>15</v>
      </c>
      <c r="D29">
        <v>11</v>
      </c>
      <c r="E29">
        <v>16</v>
      </c>
      <c r="F29" s="2">
        <v>0.04</v>
      </c>
      <c r="G29" s="14">
        <f>DataInTable[[#This Row],[Quantity]]*DataInTable[[#This Row],[Price]]</f>
        <v>176</v>
      </c>
    </row>
    <row r="30" spans="1:7" x14ac:dyDescent="0.3">
      <c r="A30" s="1">
        <v>43284</v>
      </c>
      <c r="B30" t="s">
        <v>10</v>
      </c>
      <c r="C30" t="s">
        <v>14</v>
      </c>
      <c r="D30">
        <v>22</v>
      </c>
      <c r="E30">
        <v>80</v>
      </c>
      <c r="F30" s="2">
        <v>0.03</v>
      </c>
      <c r="G30" s="14">
        <f>DataInTable[[#This Row],[Quantity]]*DataInTable[[#This Row],[Price]]</f>
        <v>1760</v>
      </c>
    </row>
    <row r="31" spans="1:7" x14ac:dyDescent="0.3">
      <c r="A31" s="1">
        <v>43284</v>
      </c>
      <c r="B31" t="s">
        <v>9</v>
      </c>
      <c r="C31" t="s">
        <v>12</v>
      </c>
      <c r="D31">
        <v>7</v>
      </c>
      <c r="E31">
        <v>16</v>
      </c>
      <c r="F31" s="2">
        <v>0.08</v>
      </c>
      <c r="G31" s="14">
        <f>DataInTable[[#This Row],[Quantity]]*DataInTable[[#This Row],[Price]]</f>
        <v>112</v>
      </c>
    </row>
    <row r="32" spans="1:7" x14ac:dyDescent="0.3">
      <c r="A32" s="1">
        <v>43284</v>
      </c>
      <c r="B32" t="s">
        <v>8</v>
      </c>
      <c r="C32" t="s">
        <v>14</v>
      </c>
      <c r="D32">
        <v>13</v>
      </c>
      <c r="E32">
        <v>40</v>
      </c>
      <c r="F32" s="2">
        <v>0.09</v>
      </c>
      <c r="G32" s="14">
        <f>DataInTable[[#This Row],[Quantity]]*DataInTable[[#This Row],[Price]]</f>
        <v>520</v>
      </c>
    </row>
    <row r="33" spans="1:7" x14ac:dyDescent="0.3">
      <c r="A33" s="1">
        <v>43284</v>
      </c>
      <c r="B33" t="s">
        <v>6</v>
      </c>
      <c r="C33" t="s">
        <v>14</v>
      </c>
      <c r="D33">
        <v>8</v>
      </c>
      <c r="E33">
        <v>230</v>
      </c>
      <c r="F33" s="2">
        <v>0.05</v>
      </c>
      <c r="G33" s="14">
        <f>DataInTable[[#This Row],[Quantity]]*DataInTable[[#This Row],[Price]]</f>
        <v>1840</v>
      </c>
    </row>
    <row r="34" spans="1:7" x14ac:dyDescent="0.3">
      <c r="A34" s="1">
        <v>43284</v>
      </c>
      <c r="B34" t="s">
        <v>9</v>
      </c>
      <c r="C34" t="s">
        <v>14</v>
      </c>
      <c r="D34">
        <v>14</v>
      </c>
      <c r="E34">
        <v>16</v>
      </c>
      <c r="F34" s="2">
        <v>0.12</v>
      </c>
      <c r="G34" s="14">
        <f>DataInTable[[#This Row],[Quantity]]*DataInTable[[#This Row],[Price]]</f>
        <v>224</v>
      </c>
    </row>
    <row r="35" spans="1:7" x14ac:dyDescent="0.3">
      <c r="A35" s="1">
        <v>43284</v>
      </c>
      <c r="B35" t="s">
        <v>8</v>
      </c>
      <c r="C35" t="s">
        <v>13</v>
      </c>
      <c r="D35">
        <v>16</v>
      </c>
      <c r="E35">
        <v>40</v>
      </c>
      <c r="F35" s="2">
        <v>0.09</v>
      </c>
      <c r="G35" s="14">
        <f>DataInTable[[#This Row],[Quantity]]*DataInTable[[#This Row],[Price]]</f>
        <v>640</v>
      </c>
    </row>
    <row r="36" spans="1:7" x14ac:dyDescent="0.3">
      <c r="A36" s="1">
        <v>43285</v>
      </c>
      <c r="B36" t="s">
        <v>7</v>
      </c>
      <c r="C36" t="s">
        <v>12</v>
      </c>
      <c r="D36">
        <v>16</v>
      </c>
      <c r="E36">
        <v>150</v>
      </c>
      <c r="F36" s="2">
        <v>0.05</v>
      </c>
      <c r="G36" s="14">
        <f>DataInTable[[#This Row],[Quantity]]*DataInTable[[#This Row],[Price]]</f>
        <v>2400</v>
      </c>
    </row>
    <row r="37" spans="1:7" x14ac:dyDescent="0.3">
      <c r="A37" s="1">
        <v>43285</v>
      </c>
      <c r="B37" t="s">
        <v>8</v>
      </c>
      <c r="C37" t="s">
        <v>12</v>
      </c>
      <c r="D37">
        <v>12</v>
      </c>
      <c r="E37">
        <v>40</v>
      </c>
      <c r="F37" s="2">
        <v>0.1</v>
      </c>
      <c r="G37" s="14">
        <f>DataInTable[[#This Row],[Quantity]]*DataInTable[[#This Row],[Price]]</f>
        <v>480</v>
      </c>
    </row>
    <row r="38" spans="1:7" x14ac:dyDescent="0.3">
      <c r="A38" s="1">
        <v>43285</v>
      </c>
      <c r="B38" t="s">
        <v>10</v>
      </c>
      <c r="C38" t="s">
        <v>13</v>
      </c>
      <c r="D38">
        <v>17</v>
      </c>
      <c r="E38">
        <v>80</v>
      </c>
      <c r="F38" s="2">
        <v>7.0000000000000007E-2</v>
      </c>
      <c r="G38" s="14">
        <f>DataInTable[[#This Row],[Quantity]]*DataInTable[[#This Row],[Price]]</f>
        <v>1360</v>
      </c>
    </row>
    <row r="39" spans="1:7" x14ac:dyDescent="0.3">
      <c r="A39" s="1">
        <v>43285</v>
      </c>
      <c r="B39" t="s">
        <v>6</v>
      </c>
      <c r="C39" t="s">
        <v>14</v>
      </c>
      <c r="D39">
        <v>19</v>
      </c>
      <c r="E39">
        <v>230</v>
      </c>
      <c r="F39" s="2">
        <v>0.06</v>
      </c>
      <c r="G39" s="14">
        <f>DataInTable[[#This Row],[Quantity]]*DataInTable[[#This Row],[Price]]</f>
        <v>4370</v>
      </c>
    </row>
    <row r="40" spans="1:7" x14ac:dyDescent="0.3">
      <c r="A40" s="1">
        <v>43285</v>
      </c>
      <c r="B40" t="s">
        <v>6</v>
      </c>
      <c r="C40" t="s">
        <v>13</v>
      </c>
      <c r="D40">
        <v>22</v>
      </c>
      <c r="E40">
        <v>230</v>
      </c>
      <c r="F40" s="2">
        <v>0.1</v>
      </c>
      <c r="G40" s="14">
        <f>DataInTable[[#This Row],[Quantity]]*DataInTable[[#This Row],[Price]]</f>
        <v>5060</v>
      </c>
    </row>
    <row r="41" spans="1:7" x14ac:dyDescent="0.3">
      <c r="A41" s="1">
        <v>43285</v>
      </c>
      <c r="B41" t="s">
        <v>8</v>
      </c>
      <c r="C41" t="s">
        <v>14</v>
      </c>
      <c r="D41">
        <v>22</v>
      </c>
      <c r="E41">
        <v>40</v>
      </c>
      <c r="F41" s="2">
        <v>0.01</v>
      </c>
      <c r="G41" s="14">
        <f>DataInTable[[#This Row],[Quantity]]*DataInTable[[#This Row],[Price]]</f>
        <v>880</v>
      </c>
    </row>
    <row r="42" spans="1:7" x14ac:dyDescent="0.3">
      <c r="A42" s="1">
        <v>43285</v>
      </c>
      <c r="B42" t="s">
        <v>9</v>
      </c>
      <c r="C42" t="s">
        <v>14</v>
      </c>
      <c r="D42">
        <v>10</v>
      </c>
      <c r="E42">
        <v>16</v>
      </c>
      <c r="F42" s="2">
        <v>0.04</v>
      </c>
      <c r="G42" s="14">
        <f>DataInTable[[#This Row],[Quantity]]*DataInTable[[#This Row],[Price]]</f>
        <v>160</v>
      </c>
    </row>
    <row r="43" spans="1:7" x14ac:dyDescent="0.3">
      <c r="A43" s="1">
        <v>43285</v>
      </c>
      <c r="B43" t="s">
        <v>8</v>
      </c>
      <c r="C43" t="s">
        <v>12</v>
      </c>
      <c r="D43">
        <v>4</v>
      </c>
      <c r="E43">
        <v>40</v>
      </c>
      <c r="F43" s="2">
        <v>0.12</v>
      </c>
      <c r="G43" s="14">
        <f>DataInTable[[#This Row],[Quantity]]*DataInTable[[#This Row],[Price]]</f>
        <v>160</v>
      </c>
    </row>
    <row r="44" spans="1:7" x14ac:dyDescent="0.3">
      <c r="A44" s="1">
        <v>43285</v>
      </c>
      <c r="B44" t="s">
        <v>8</v>
      </c>
      <c r="C44" t="s">
        <v>13</v>
      </c>
      <c r="D44">
        <v>20</v>
      </c>
      <c r="E44">
        <v>40</v>
      </c>
      <c r="F44" s="2">
        <v>0.05</v>
      </c>
      <c r="G44" s="14">
        <f>DataInTable[[#This Row],[Quantity]]*DataInTable[[#This Row],[Price]]</f>
        <v>800</v>
      </c>
    </row>
    <row r="45" spans="1:7" x14ac:dyDescent="0.3">
      <c r="A45" s="1">
        <v>43286</v>
      </c>
      <c r="B45" t="s">
        <v>6</v>
      </c>
      <c r="C45" t="s">
        <v>14</v>
      </c>
      <c r="D45">
        <v>23</v>
      </c>
      <c r="E45">
        <v>230</v>
      </c>
      <c r="F45" s="2">
        <v>0.06</v>
      </c>
      <c r="G45" s="14">
        <f>DataInTable[[#This Row],[Quantity]]*DataInTable[[#This Row],[Price]]</f>
        <v>5290</v>
      </c>
    </row>
    <row r="46" spans="1:7" x14ac:dyDescent="0.3">
      <c r="A46" s="1">
        <v>43286</v>
      </c>
      <c r="B46" t="s">
        <v>8</v>
      </c>
      <c r="C46" t="s">
        <v>15</v>
      </c>
      <c r="D46">
        <v>20</v>
      </c>
      <c r="E46">
        <v>40</v>
      </c>
      <c r="F46" s="2">
        <v>0.01</v>
      </c>
      <c r="G46" s="14">
        <f>DataInTable[[#This Row],[Quantity]]*DataInTable[[#This Row],[Price]]</f>
        <v>800</v>
      </c>
    </row>
    <row r="47" spans="1:7" x14ac:dyDescent="0.3">
      <c r="A47" s="1">
        <v>43286</v>
      </c>
      <c r="B47" t="s">
        <v>7</v>
      </c>
      <c r="C47" t="s">
        <v>15</v>
      </c>
      <c r="D47">
        <v>20</v>
      </c>
      <c r="E47">
        <v>150</v>
      </c>
      <c r="F47" s="2">
        <v>0.04</v>
      </c>
      <c r="G47" s="14">
        <f>DataInTable[[#This Row],[Quantity]]*DataInTable[[#This Row],[Price]]</f>
        <v>3000</v>
      </c>
    </row>
    <row r="48" spans="1:7" x14ac:dyDescent="0.3">
      <c r="A48" s="1">
        <v>43286</v>
      </c>
      <c r="B48" t="s">
        <v>10</v>
      </c>
      <c r="C48" t="s">
        <v>12</v>
      </c>
      <c r="D48">
        <v>9</v>
      </c>
      <c r="E48">
        <v>80</v>
      </c>
      <c r="F48" s="2">
        <v>0.03</v>
      </c>
      <c r="G48" s="14">
        <f>DataInTable[[#This Row],[Quantity]]*DataInTable[[#This Row],[Price]]</f>
        <v>720</v>
      </c>
    </row>
    <row r="49" spans="1:7" x14ac:dyDescent="0.3">
      <c r="A49" s="1">
        <v>43286</v>
      </c>
      <c r="B49" t="s">
        <v>6</v>
      </c>
      <c r="C49" t="s">
        <v>11</v>
      </c>
      <c r="D49">
        <v>7</v>
      </c>
      <c r="E49">
        <v>230</v>
      </c>
      <c r="F49" s="2">
        <v>0.02</v>
      </c>
      <c r="G49" s="14">
        <f>DataInTable[[#This Row],[Quantity]]*DataInTable[[#This Row],[Price]]</f>
        <v>1610</v>
      </c>
    </row>
    <row r="50" spans="1:7" x14ac:dyDescent="0.3">
      <c r="A50" s="1">
        <v>43286</v>
      </c>
      <c r="B50" t="s">
        <v>6</v>
      </c>
      <c r="C50" t="s">
        <v>11</v>
      </c>
      <c r="D50">
        <v>3</v>
      </c>
      <c r="E50">
        <v>230</v>
      </c>
      <c r="F50" s="2">
        <v>0.06</v>
      </c>
      <c r="G50" s="14">
        <f>DataInTable[[#This Row],[Quantity]]*DataInTable[[#This Row],[Price]]</f>
        <v>690</v>
      </c>
    </row>
    <row r="51" spans="1:7" x14ac:dyDescent="0.3">
      <c r="A51" s="1">
        <v>43286</v>
      </c>
      <c r="B51" t="s">
        <v>7</v>
      </c>
      <c r="C51" t="s">
        <v>11</v>
      </c>
      <c r="D51">
        <v>13</v>
      </c>
      <c r="E51">
        <v>150</v>
      </c>
      <c r="F51" s="2">
        <v>0.05</v>
      </c>
      <c r="G51" s="14">
        <f>DataInTable[[#This Row],[Quantity]]*DataInTable[[#This Row],[Price]]</f>
        <v>1950</v>
      </c>
    </row>
    <row r="52" spans="1:7" x14ac:dyDescent="0.3">
      <c r="A52" s="1">
        <v>43286</v>
      </c>
      <c r="B52" t="s">
        <v>10</v>
      </c>
      <c r="C52" t="s">
        <v>11</v>
      </c>
      <c r="D52">
        <v>17</v>
      </c>
      <c r="E52">
        <v>80</v>
      </c>
      <c r="F52" s="2">
        <v>0.09</v>
      </c>
      <c r="G52" s="14">
        <f>DataInTable[[#This Row],[Quantity]]*DataInTable[[#This Row],[Price]]</f>
        <v>1360</v>
      </c>
    </row>
    <row r="53" spans="1:7" x14ac:dyDescent="0.3">
      <c r="A53" s="1">
        <v>43287</v>
      </c>
      <c r="B53" t="s">
        <v>8</v>
      </c>
      <c r="C53" t="s">
        <v>14</v>
      </c>
      <c r="D53">
        <v>18</v>
      </c>
      <c r="E53">
        <v>40</v>
      </c>
      <c r="F53" s="2">
        <v>0.06</v>
      </c>
      <c r="G53" s="14">
        <f>DataInTable[[#This Row],[Quantity]]*DataInTable[[#This Row],[Price]]</f>
        <v>720</v>
      </c>
    </row>
    <row r="54" spans="1:7" x14ac:dyDescent="0.3">
      <c r="A54" s="1">
        <v>43287</v>
      </c>
      <c r="B54" t="s">
        <v>9</v>
      </c>
      <c r="C54" t="s">
        <v>15</v>
      </c>
      <c r="D54">
        <v>23</v>
      </c>
      <c r="E54">
        <v>16</v>
      </c>
      <c r="F54" s="2">
        <v>0.11</v>
      </c>
      <c r="G54" s="14">
        <f>DataInTable[[#This Row],[Quantity]]*DataInTable[[#This Row],[Price]]</f>
        <v>368</v>
      </c>
    </row>
    <row r="55" spans="1:7" x14ac:dyDescent="0.3">
      <c r="A55" s="1">
        <v>43287</v>
      </c>
      <c r="B55" t="s">
        <v>6</v>
      </c>
      <c r="C55" t="s">
        <v>15</v>
      </c>
      <c r="D55">
        <v>20</v>
      </c>
      <c r="E55">
        <v>230</v>
      </c>
      <c r="F55" s="2">
        <v>0.06</v>
      </c>
      <c r="G55" s="14">
        <f>DataInTable[[#This Row],[Quantity]]*DataInTable[[#This Row],[Price]]</f>
        <v>4600</v>
      </c>
    </row>
    <row r="56" spans="1:7" x14ac:dyDescent="0.3">
      <c r="A56" s="1">
        <v>43287</v>
      </c>
      <c r="B56" t="s">
        <v>9</v>
      </c>
      <c r="C56" t="s">
        <v>11</v>
      </c>
      <c r="D56">
        <v>11</v>
      </c>
      <c r="E56">
        <v>16</v>
      </c>
      <c r="F56" s="2">
        <v>0.09</v>
      </c>
      <c r="G56" s="14">
        <f>DataInTable[[#This Row],[Quantity]]*DataInTable[[#This Row],[Price]]</f>
        <v>176</v>
      </c>
    </row>
    <row r="57" spans="1:7" x14ac:dyDescent="0.3">
      <c r="A57" s="1">
        <v>43287</v>
      </c>
      <c r="B57" t="s">
        <v>7</v>
      </c>
      <c r="C57" t="s">
        <v>13</v>
      </c>
      <c r="D57">
        <v>15</v>
      </c>
      <c r="E57">
        <v>150</v>
      </c>
      <c r="F57" s="2">
        <v>7.0000000000000007E-2</v>
      </c>
      <c r="G57" s="14">
        <f>DataInTable[[#This Row],[Quantity]]*DataInTable[[#This Row],[Price]]</f>
        <v>2250</v>
      </c>
    </row>
    <row r="58" spans="1:7" x14ac:dyDescent="0.3">
      <c r="A58" s="1">
        <v>43287</v>
      </c>
      <c r="B58" t="s">
        <v>6</v>
      </c>
      <c r="C58" t="s">
        <v>12</v>
      </c>
      <c r="D58">
        <v>6</v>
      </c>
      <c r="E58">
        <v>230</v>
      </c>
      <c r="F58" s="2">
        <v>0.1</v>
      </c>
      <c r="G58" s="14">
        <f>DataInTable[[#This Row],[Quantity]]*DataInTable[[#This Row],[Price]]</f>
        <v>1380</v>
      </c>
    </row>
    <row r="59" spans="1:7" x14ac:dyDescent="0.3">
      <c r="A59" s="1">
        <v>43287</v>
      </c>
      <c r="B59" t="s">
        <v>8</v>
      </c>
      <c r="C59" t="s">
        <v>11</v>
      </c>
      <c r="D59">
        <v>22</v>
      </c>
      <c r="E59">
        <v>40</v>
      </c>
      <c r="F59" s="2">
        <v>0.02</v>
      </c>
      <c r="G59" s="14">
        <f>DataInTable[[#This Row],[Quantity]]*DataInTable[[#This Row],[Price]]</f>
        <v>880</v>
      </c>
    </row>
    <row r="60" spans="1:7" x14ac:dyDescent="0.3">
      <c r="A60" s="1">
        <v>43287</v>
      </c>
      <c r="B60" t="s">
        <v>8</v>
      </c>
      <c r="C60" t="s">
        <v>11</v>
      </c>
      <c r="D60">
        <v>15</v>
      </c>
      <c r="E60">
        <v>40</v>
      </c>
      <c r="F60" s="2">
        <v>0.06</v>
      </c>
      <c r="G60" s="14">
        <f>DataInTable[[#This Row],[Quantity]]*DataInTable[[#This Row],[Price]]</f>
        <v>600</v>
      </c>
    </row>
    <row r="61" spans="1:7" x14ac:dyDescent="0.3">
      <c r="A61" s="1">
        <v>43287</v>
      </c>
      <c r="B61" t="s">
        <v>9</v>
      </c>
      <c r="C61" t="s">
        <v>15</v>
      </c>
      <c r="D61">
        <v>12</v>
      </c>
      <c r="E61">
        <v>16</v>
      </c>
      <c r="F61" s="2">
        <v>0.03</v>
      </c>
      <c r="G61" s="14">
        <f>DataInTable[[#This Row],[Quantity]]*DataInTable[[#This Row],[Price]]</f>
        <v>192</v>
      </c>
    </row>
    <row r="62" spans="1:7" x14ac:dyDescent="0.3">
      <c r="A62" s="1">
        <v>43287</v>
      </c>
      <c r="B62" t="s">
        <v>9</v>
      </c>
      <c r="C62" t="s">
        <v>13</v>
      </c>
      <c r="D62">
        <v>22</v>
      </c>
      <c r="E62">
        <v>16</v>
      </c>
      <c r="F62" s="2">
        <v>0.12</v>
      </c>
      <c r="G62" s="14">
        <f>DataInTable[[#This Row],[Quantity]]*DataInTable[[#This Row],[Price]]</f>
        <v>352</v>
      </c>
    </row>
    <row r="63" spans="1:7" x14ac:dyDescent="0.3">
      <c r="A63" s="1">
        <v>43287</v>
      </c>
      <c r="B63" t="s">
        <v>10</v>
      </c>
      <c r="C63" t="s">
        <v>11</v>
      </c>
      <c r="D63">
        <v>21</v>
      </c>
      <c r="E63">
        <v>80</v>
      </c>
      <c r="F63" s="2">
        <v>0.04</v>
      </c>
      <c r="G63" s="14">
        <f>DataInTable[[#This Row],[Quantity]]*DataInTable[[#This Row],[Price]]</f>
        <v>1680</v>
      </c>
    </row>
    <row r="64" spans="1:7" x14ac:dyDescent="0.3">
      <c r="A64" s="1">
        <v>43287</v>
      </c>
      <c r="B64" t="s">
        <v>7</v>
      </c>
      <c r="C64" t="s">
        <v>11</v>
      </c>
      <c r="D64">
        <v>22</v>
      </c>
      <c r="E64">
        <v>150</v>
      </c>
      <c r="F64" s="2">
        <v>0.05</v>
      </c>
      <c r="G64" s="14">
        <f>DataInTable[[#This Row],[Quantity]]*DataInTable[[#This Row],[Price]]</f>
        <v>3300</v>
      </c>
    </row>
    <row r="65" spans="1:7" x14ac:dyDescent="0.3">
      <c r="A65" s="1">
        <v>43287</v>
      </c>
      <c r="B65" t="s">
        <v>10</v>
      </c>
      <c r="C65" t="s">
        <v>13</v>
      </c>
      <c r="D65">
        <v>21</v>
      </c>
      <c r="E65">
        <v>80</v>
      </c>
      <c r="F65" s="2">
        <v>0.09</v>
      </c>
      <c r="G65" s="14">
        <f>DataInTable[[#This Row],[Quantity]]*DataInTable[[#This Row],[Price]]</f>
        <v>1680</v>
      </c>
    </row>
    <row r="66" spans="1:7" x14ac:dyDescent="0.3">
      <c r="A66" s="1">
        <v>43287</v>
      </c>
      <c r="B66" t="s">
        <v>10</v>
      </c>
      <c r="C66" t="s">
        <v>14</v>
      </c>
      <c r="D66">
        <v>10</v>
      </c>
      <c r="E66">
        <v>80</v>
      </c>
      <c r="F66" s="2">
        <v>0.1</v>
      </c>
      <c r="G66" s="14">
        <f>DataInTable[[#This Row],[Quantity]]*DataInTable[[#This Row],[Price]]</f>
        <v>800</v>
      </c>
    </row>
    <row r="67" spans="1:7" x14ac:dyDescent="0.3">
      <c r="A67" s="1">
        <v>43287</v>
      </c>
      <c r="B67" t="s">
        <v>6</v>
      </c>
      <c r="C67" t="s">
        <v>12</v>
      </c>
      <c r="D67">
        <v>15</v>
      </c>
      <c r="E67">
        <v>230</v>
      </c>
      <c r="F67" s="2">
        <v>0.09</v>
      </c>
      <c r="G67" s="14">
        <f>DataInTable[[#This Row],[Quantity]]*DataInTable[[#This Row],[Price]]</f>
        <v>3450</v>
      </c>
    </row>
    <row r="68" spans="1:7" x14ac:dyDescent="0.3">
      <c r="A68" s="1">
        <v>43288</v>
      </c>
      <c r="B68" t="s">
        <v>10</v>
      </c>
      <c r="C68" t="s">
        <v>11</v>
      </c>
      <c r="D68">
        <v>14</v>
      </c>
      <c r="E68">
        <v>80</v>
      </c>
      <c r="F68" s="2">
        <v>0.08</v>
      </c>
      <c r="G68" s="14">
        <f>DataInTable[[#This Row],[Quantity]]*DataInTable[[#This Row],[Price]]</f>
        <v>1120</v>
      </c>
    </row>
    <row r="69" spans="1:7" x14ac:dyDescent="0.3">
      <c r="A69" s="1">
        <v>43288</v>
      </c>
      <c r="B69" t="s">
        <v>10</v>
      </c>
      <c r="C69" t="s">
        <v>13</v>
      </c>
      <c r="D69">
        <v>10</v>
      </c>
      <c r="E69">
        <v>80</v>
      </c>
      <c r="F69" s="2">
        <v>0.06</v>
      </c>
      <c r="G69" s="14">
        <f>DataInTable[[#This Row],[Quantity]]*DataInTable[[#This Row],[Price]]</f>
        <v>800</v>
      </c>
    </row>
    <row r="70" spans="1:7" x14ac:dyDescent="0.3">
      <c r="A70" s="1">
        <v>43288</v>
      </c>
      <c r="B70" t="s">
        <v>7</v>
      </c>
      <c r="C70" t="s">
        <v>11</v>
      </c>
      <c r="D70">
        <v>5</v>
      </c>
      <c r="E70">
        <v>150</v>
      </c>
      <c r="F70" s="2">
        <v>0.11</v>
      </c>
      <c r="G70" s="14">
        <f>DataInTable[[#This Row],[Quantity]]*DataInTable[[#This Row],[Price]]</f>
        <v>750</v>
      </c>
    </row>
    <row r="71" spans="1:7" x14ac:dyDescent="0.3">
      <c r="A71" s="1">
        <v>43288</v>
      </c>
      <c r="B71" t="s">
        <v>6</v>
      </c>
      <c r="C71" t="s">
        <v>14</v>
      </c>
      <c r="D71">
        <v>3</v>
      </c>
      <c r="E71">
        <v>230</v>
      </c>
      <c r="F71" s="2">
        <v>0.01</v>
      </c>
      <c r="G71" s="14">
        <f>DataInTable[[#This Row],[Quantity]]*DataInTable[[#This Row],[Price]]</f>
        <v>690</v>
      </c>
    </row>
    <row r="72" spans="1:7" x14ac:dyDescent="0.3">
      <c r="A72" s="1">
        <v>43288</v>
      </c>
      <c r="B72" t="s">
        <v>8</v>
      </c>
      <c r="C72" t="s">
        <v>14</v>
      </c>
      <c r="D72">
        <v>4</v>
      </c>
      <c r="E72">
        <v>40</v>
      </c>
      <c r="F72" s="2">
        <v>0.05</v>
      </c>
      <c r="G72" s="14">
        <f>DataInTable[[#This Row],[Quantity]]*DataInTable[[#This Row],[Price]]</f>
        <v>160</v>
      </c>
    </row>
    <row r="73" spans="1:7" x14ac:dyDescent="0.3">
      <c r="A73" s="1">
        <v>43288</v>
      </c>
      <c r="B73" t="s">
        <v>7</v>
      </c>
      <c r="C73" t="s">
        <v>15</v>
      </c>
      <c r="D73">
        <v>18</v>
      </c>
      <c r="E73">
        <v>150</v>
      </c>
      <c r="F73" s="2">
        <v>0.06</v>
      </c>
      <c r="G73" s="14">
        <f>DataInTable[[#This Row],[Quantity]]*DataInTable[[#This Row],[Price]]</f>
        <v>2700</v>
      </c>
    </row>
    <row r="74" spans="1:7" x14ac:dyDescent="0.3">
      <c r="A74" s="1">
        <v>43288</v>
      </c>
      <c r="B74" t="s">
        <v>8</v>
      </c>
      <c r="C74" t="s">
        <v>13</v>
      </c>
      <c r="D74">
        <v>20</v>
      </c>
      <c r="E74">
        <v>40</v>
      </c>
      <c r="F74" s="2">
        <v>0.1</v>
      </c>
      <c r="G74" s="14">
        <f>DataInTable[[#This Row],[Quantity]]*DataInTable[[#This Row],[Price]]</f>
        <v>800</v>
      </c>
    </row>
    <row r="75" spans="1:7" x14ac:dyDescent="0.3">
      <c r="A75" s="1">
        <v>43288</v>
      </c>
      <c r="B75" t="s">
        <v>10</v>
      </c>
      <c r="C75" t="s">
        <v>14</v>
      </c>
      <c r="D75">
        <v>16</v>
      </c>
      <c r="E75">
        <v>80</v>
      </c>
      <c r="F75" s="2">
        <v>0.05</v>
      </c>
      <c r="G75" s="14">
        <f>DataInTable[[#This Row],[Quantity]]*DataInTable[[#This Row],[Price]]</f>
        <v>1280</v>
      </c>
    </row>
    <row r="76" spans="1:7" x14ac:dyDescent="0.3">
      <c r="A76" s="1">
        <v>43288</v>
      </c>
      <c r="B76" t="s">
        <v>8</v>
      </c>
      <c r="C76" t="s">
        <v>15</v>
      </c>
      <c r="D76">
        <v>4</v>
      </c>
      <c r="E76">
        <v>40</v>
      </c>
      <c r="F76" s="2">
        <v>0.06</v>
      </c>
      <c r="G76" s="14">
        <f>DataInTable[[#This Row],[Quantity]]*DataInTable[[#This Row],[Price]]</f>
        <v>160</v>
      </c>
    </row>
    <row r="77" spans="1:7" x14ac:dyDescent="0.3">
      <c r="A77" s="1">
        <v>43288</v>
      </c>
      <c r="B77" t="s">
        <v>8</v>
      </c>
      <c r="C77" t="s">
        <v>12</v>
      </c>
      <c r="D77">
        <v>4</v>
      </c>
      <c r="E77">
        <v>40</v>
      </c>
      <c r="F77" s="2">
        <v>0.03</v>
      </c>
      <c r="G77" s="14">
        <f>DataInTable[[#This Row],[Quantity]]*DataInTable[[#This Row],[Price]]</f>
        <v>160</v>
      </c>
    </row>
    <row r="78" spans="1:7" x14ac:dyDescent="0.3">
      <c r="A78" s="1">
        <v>43288</v>
      </c>
      <c r="B78" t="s">
        <v>8</v>
      </c>
      <c r="C78" t="s">
        <v>12</v>
      </c>
      <c r="D78">
        <v>15</v>
      </c>
      <c r="E78">
        <v>40</v>
      </c>
      <c r="F78" s="2">
        <v>0.02</v>
      </c>
      <c r="G78" s="14">
        <f>DataInTable[[#This Row],[Quantity]]*DataInTable[[#This Row],[Price]]</f>
        <v>600</v>
      </c>
    </row>
    <row r="79" spans="1:7" x14ac:dyDescent="0.3">
      <c r="A79" s="1">
        <v>43288</v>
      </c>
      <c r="B79" t="s">
        <v>8</v>
      </c>
      <c r="C79" t="s">
        <v>15</v>
      </c>
      <c r="D79">
        <v>20</v>
      </c>
      <c r="E79">
        <v>40</v>
      </c>
      <c r="F79" s="2">
        <v>0.01</v>
      </c>
      <c r="G79" s="14">
        <f>DataInTable[[#This Row],[Quantity]]*DataInTable[[#This Row],[Price]]</f>
        <v>800</v>
      </c>
    </row>
    <row r="80" spans="1:7" x14ac:dyDescent="0.3">
      <c r="A80" s="1">
        <v>43288</v>
      </c>
      <c r="B80" t="s">
        <v>9</v>
      </c>
      <c r="C80" t="s">
        <v>13</v>
      </c>
      <c r="D80">
        <v>14</v>
      </c>
      <c r="E80">
        <v>16</v>
      </c>
      <c r="F80" s="2">
        <v>0.06</v>
      </c>
      <c r="G80" s="14">
        <f>DataInTable[[#This Row],[Quantity]]*DataInTable[[#This Row],[Price]]</f>
        <v>224</v>
      </c>
    </row>
    <row r="81" spans="1:7" x14ac:dyDescent="0.3">
      <c r="A81" s="1">
        <v>43289</v>
      </c>
      <c r="B81" t="s">
        <v>7</v>
      </c>
      <c r="C81" t="s">
        <v>15</v>
      </c>
      <c r="D81">
        <v>11</v>
      </c>
      <c r="E81">
        <v>150</v>
      </c>
      <c r="F81" s="2">
        <v>0.11</v>
      </c>
      <c r="G81" s="14">
        <f>DataInTable[[#This Row],[Quantity]]*DataInTable[[#This Row],[Price]]</f>
        <v>1650</v>
      </c>
    </row>
    <row r="82" spans="1:7" x14ac:dyDescent="0.3">
      <c r="A82" s="1">
        <v>43289</v>
      </c>
      <c r="B82" t="s">
        <v>7</v>
      </c>
      <c r="C82" t="s">
        <v>15</v>
      </c>
      <c r="D82">
        <v>9</v>
      </c>
      <c r="E82">
        <v>150</v>
      </c>
      <c r="F82" s="2">
        <v>0.02</v>
      </c>
      <c r="G82" s="14">
        <f>DataInTable[[#This Row],[Quantity]]*DataInTable[[#This Row],[Price]]</f>
        <v>1350</v>
      </c>
    </row>
    <row r="83" spans="1:7" x14ac:dyDescent="0.3">
      <c r="A83" s="1">
        <v>43289</v>
      </c>
      <c r="B83" t="s">
        <v>9</v>
      </c>
      <c r="C83" t="s">
        <v>13</v>
      </c>
      <c r="D83">
        <v>11</v>
      </c>
      <c r="E83">
        <v>16</v>
      </c>
      <c r="F83" s="2">
        <v>0.12</v>
      </c>
      <c r="G83" s="14">
        <f>DataInTable[[#This Row],[Quantity]]*DataInTable[[#This Row],[Price]]</f>
        <v>176</v>
      </c>
    </row>
    <row r="84" spans="1:7" x14ac:dyDescent="0.3">
      <c r="A84" s="1">
        <v>43289</v>
      </c>
      <c r="B84" t="s">
        <v>8</v>
      </c>
      <c r="C84" t="s">
        <v>15</v>
      </c>
      <c r="D84">
        <v>13</v>
      </c>
      <c r="E84">
        <v>40</v>
      </c>
      <c r="F84" s="2">
        <v>0.02</v>
      </c>
      <c r="G84" s="14">
        <f>DataInTable[[#This Row],[Quantity]]*DataInTable[[#This Row],[Price]]</f>
        <v>520</v>
      </c>
    </row>
    <row r="85" spans="1:7" x14ac:dyDescent="0.3">
      <c r="A85" s="1">
        <v>43289</v>
      </c>
      <c r="B85" t="s">
        <v>8</v>
      </c>
      <c r="C85" t="s">
        <v>15</v>
      </c>
      <c r="D85">
        <v>4</v>
      </c>
      <c r="E85">
        <v>40</v>
      </c>
      <c r="F85" s="2">
        <v>0.1</v>
      </c>
      <c r="G85" s="14">
        <f>DataInTable[[#This Row],[Quantity]]*DataInTable[[#This Row],[Price]]</f>
        <v>160</v>
      </c>
    </row>
    <row r="86" spans="1:7" x14ac:dyDescent="0.3">
      <c r="A86" s="1">
        <v>43289</v>
      </c>
      <c r="B86" t="s">
        <v>6</v>
      </c>
      <c r="C86" t="s">
        <v>11</v>
      </c>
      <c r="D86">
        <v>3</v>
      </c>
      <c r="E86">
        <v>230</v>
      </c>
      <c r="F86" s="2">
        <v>0.11</v>
      </c>
      <c r="G86" s="14">
        <f>DataInTable[[#This Row],[Quantity]]*DataInTable[[#This Row],[Price]]</f>
        <v>690</v>
      </c>
    </row>
    <row r="87" spans="1:7" x14ac:dyDescent="0.3">
      <c r="A87" s="1">
        <v>43289</v>
      </c>
      <c r="B87" t="s">
        <v>10</v>
      </c>
      <c r="C87" t="s">
        <v>15</v>
      </c>
      <c r="D87">
        <v>6</v>
      </c>
      <c r="E87">
        <v>80</v>
      </c>
      <c r="F87" s="2">
        <v>0.09</v>
      </c>
      <c r="G87" s="14">
        <f>DataInTable[[#This Row],[Quantity]]*DataInTable[[#This Row],[Price]]</f>
        <v>480</v>
      </c>
    </row>
    <row r="88" spans="1:7" x14ac:dyDescent="0.3">
      <c r="A88" s="1">
        <v>43289</v>
      </c>
      <c r="B88" t="s">
        <v>7</v>
      </c>
      <c r="C88" t="s">
        <v>11</v>
      </c>
      <c r="D88">
        <v>9</v>
      </c>
      <c r="E88">
        <v>150</v>
      </c>
      <c r="F88" s="2">
        <v>0.1</v>
      </c>
      <c r="G88" s="14">
        <f>DataInTable[[#This Row],[Quantity]]*DataInTable[[#This Row],[Price]]</f>
        <v>1350</v>
      </c>
    </row>
    <row r="89" spans="1:7" x14ac:dyDescent="0.3">
      <c r="A89" s="1">
        <v>43289</v>
      </c>
      <c r="B89" t="s">
        <v>10</v>
      </c>
      <c r="C89" t="s">
        <v>12</v>
      </c>
      <c r="D89">
        <v>14</v>
      </c>
      <c r="E89">
        <v>80</v>
      </c>
      <c r="F89" s="2">
        <v>0.11</v>
      </c>
      <c r="G89" s="14">
        <f>DataInTable[[#This Row],[Quantity]]*DataInTable[[#This Row],[Price]]</f>
        <v>1120</v>
      </c>
    </row>
    <row r="90" spans="1:7" x14ac:dyDescent="0.3">
      <c r="A90" s="1">
        <v>43289</v>
      </c>
      <c r="B90" t="s">
        <v>10</v>
      </c>
      <c r="C90" t="s">
        <v>11</v>
      </c>
      <c r="D90">
        <v>18</v>
      </c>
      <c r="E90">
        <v>80</v>
      </c>
      <c r="F90" s="2">
        <v>0.02</v>
      </c>
      <c r="G90" s="14">
        <f>DataInTable[[#This Row],[Quantity]]*DataInTable[[#This Row],[Price]]</f>
        <v>1440</v>
      </c>
    </row>
    <row r="91" spans="1:7" x14ac:dyDescent="0.3">
      <c r="A91" s="1">
        <v>43289</v>
      </c>
      <c r="B91" t="s">
        <v>8</v>
      </c>
      <c r="C91" t="s">
        <v>11</v>
      </c>
      <c r="D91">
        <v>20</v>
      </c>
      <c r="E91">
        <v>40</v>
      </c>
      <c r="F91" s="2">
        <v>0.04</v>
      </c>
      <c r="G91" s="14">
        <f>DataInTable[[#This Row],[Quantity]]*DataInTable[[#This Row],[Price]]</f>
        <v>800</v>
      </c>
    </row>
    <row r="92" spans="1:7" x14ac:dyDescent="0.3">
      <c r="A92" s="1">
        <v>43290</v>
      </c>
      <c r="B92" t="s">
        <v>9</v>
      </c>
      <c r="C92" t="s">
        <v>15</v>
      </c>
      <c r="D92">
        <v>8</v>
      </c>
      <c r="E92">
        <v>16</v>
      </c>
      <c r="F92" s="2">
        <v>0.03</v>
      </c>
      <c r="G92" s="14">
        <f>DataInTable[[#This Row],[Quantity]]*DataInTable[[#This Row],[Price]]</f>
        <v>128</v>
      </c>
    </row>
    <row r="93" spans="1:7" x14ac:dyDescent="0.3">
      <c r="A93" s="1">
        <v>43290</v>
      </c>
      <c r="B93" t="s">
        <v>10</v>
      </c>
      <c r="C93" t="s">
        <v>12</v>
      </c>
      <c r="D93">
        <v>14</v>
      </c>
      <c r="E93">
        <v>80</v>
      </c>
      <c r="F93" s="2">
        <v>0.06</v>
      </c>
      <c r="G93" s="14">
        <f>DataInTable[[#This Row],[Quantity]]*DataInTable[[#This Row],[Price]]</f>
        <v>1120</v>
      </c>
    </row>
    <row r="94" spans="1:7" x14ac:dyDescent="0.3">
      <c r="A94" s="1">
        <v>43290</v>
      </c>
      <c r="B94" t="s">
        <v>7</v>
      </c>
      <c r="C94" t="s">
        <v>11</v>
      </c>
      <c r="D94">
        <v>20</v>
      </c>
      <c r="E94">
        <v>150</v>
      </c>
      <c r="F94" s="2">
        <v>0.01</v>
      </c>
      <c r="G94" s="14">
        <f>DataInTable[[#This Row],[Quantity]]*DataInTable[[#This Row],[Price]]</f>
        <v>3000</v>
      </c>
    </row>
    <row r="95" spans="1:7" x14ac:dyDescent="0.3">
      <c r="A95" s="1">
        <v>43290</v>
      </c>
      <c r="B95" t="s">
        <v>8</v>
      </c>
      <c r="C95" t="s">
        <v>14</v>
      </c>
      <c r="D95">
        <v>15</v>
      </c>
      <c r="E95">
        <v>40</v>
      </c>
      <c r="F95" s="2">
        <v>0.03</v>
      </c>
      <c r="G95" s="14">
        <f>DataInTable[[#This Row],[Quantity]]*DataInTable[[#This Row],[Price]]</f>
        <v>600</v>
      </c>
    </row>
    <row r="96" spans="1:7" x14ac:dyDescent="0.3">
      <c r="A96" s="1">
        <v>43290</v>
      </c>
      <c r="B96" t="s">
        <v>8</v>
      </c>
      <c r="C96" t="s">
        <v>12</v>
      </c>
      <c r="D96">
        <v>18</v>
      </c>
      <c r="E96">
        <v>40</v>
      </c>
      <c r="F96" s="2">
        <v>0.08</v>
      </c>
      <c r="G96" s="14">
        <f>DataInTable[[#This Row],[Quantity]]*DataInTable[[#This Row],[Price]]</f>
        <v>720</v>
      </c>
    </row>
    <row r="97" spans="1:7" x14ac:dyDescent="0.3">
      <c r="A97" s="1">
        <v>43290</v>
      </c>
      <c r="B97" t="s">
        <v>8</v>
      </c>
      <c r="C97" t="s">
        <v>13</v>
      </c>
      <c r="D97">
        <v>11</v>
      </c>
      <c r="E97">
        <v>40</v>
      </c>
      <c r="F97" s="2">
        <v>0.05</v>
      </c>
      <c r="G97" s="14">
        <f>DataInTable[[#This Row],[Quantity]]*DataInTable[[#This Row],[Price]]</f>
        <v>440</v>
      </c>
    </row>
    <row r="98" spans="1:7" x14ac:dyDescent="0.3">
      <c r="A98" s="1">
        <v>43291</v>
      </c>
      <c r="B98" t="s">
        <v>8</v>
      </c>
      <c r="C98" t="s">
        <v>13</v>
      </c>
      <c r="D98">
        <v>23</v>
      </c>
      <c r="E98">
        <v>40</v>
      </c>
      <c r="F98" s="2">
        <v>0.04</v>
      </c>
      <c r="G98" s="14">
        <f>DataInTable[[#This Row],[Quantity]]*DataInTable[[#This Row],[Price]]</f>
        <v>920</v>
      </c>
    </row>
    <row r="99" spans="1:7" x14ac:dyDescent="0.3">
      <c r="A99" s="1">
        <v>43291</v>
      </c>
      <c r="B99" t="s">
        <v>9</v>
      </c>
      <c r="C99" t="s">
        <v>13</v>
      </c>
      <c r="D99">
        <v>17</v>
      </c>
      <c r="E99">
        <v>16</v>
      </c>
      <c r="F99" s="2">
        <v>0.1</v>
      </c>
      <c r="G99" s="14">
        <f>DataInTable[[#This Row],[Quantity]]*DataInTable[[#This Row],[Price]]</f>
        <v>272</v>
      </c>
    </row>
    <row r="100" spans="1:7" x14ac:dyDescent="0.3">
      <c r="A100" s="1">
        <v>43291</v>
      </c>
      <c r="B100" t="s">
        <v>9</v>
      </c>
      <c r="C100" t="s">
        <v>12</v>
      </c>
      <c r="D100">
        <v>4</v>
      </c>
      <c r="E100">
        <v>16</v>
      </c>
      <c r="F100" s="2">
        <v>7.0000000000000007E-2</v>
      </c>
      <c r="G100" s="14">
        <f>DataInTable[[#This Row],[Quantity]]*DataInTable[[#This Row],[Price]]</f>
        <v>64</v>
      </c>
    </row>
    <row r="101" spans="1:7" x14ac:dyDescent="0.3">
      <c r="A101" s="1">
        <v>43291</v>
      </c>
      <c r="B101" t="s">
        <v>10</v>
      </c>
      <c r="C101" t="s">
        <v>15</v>
      </c>
      <c r="D101">
        <v>23</v>
      </c>
      <c r="E101">
        <v>80</v>
      </c>
      <c r="F101" s="2">
        <v>0.05</v>
      </c>
      <c r="G101" s="14">
        <f>DataInTable[[#This Row],[Quantity]]*DataInTable[[#This Row],[Price]]</f>
        <v>1840</v>
      </c>
    </row>
    <row r="102" spans="1:7" x14ac:dyDescent="0.3">
      <c r="A102" s="1">
        <v>43291</v>
      </c>
      <c r="B102" t="s">
        <v>6</v>
      </c>
      <c r="C102" t="s">
        <v>15</v>
      </c>
      <c r="D102">
        <v>10</v>
      </c>
      <c r="E102">
        <v>230</v>
      </c>
      <c r="F102" s="2">
        <v>0.02</v>
      </c>
      <c r="G102" s="14">
        <f>DataInTable[[#This Row],[Quantity]]*DataInTable[[#This Row],[Price]]</f>
        <v>2300</v>
      </c>
    </row>
    <row r="103" spans="1:7" x14ac:dyDescent="0.3">
      <c r="A103" s="1">
        <v>43291</v>
      </c>
      <c r="B103" t="s">
        <v>9</v>
      </c>
      <c r="C103" t="s">
        <v>15</v>
      </c>
      <c r="D103">
        <v>14</v>
      </c>
      <c r="E103">
        <v>16</v>
      </c>
      <c r="F103" s="2">
        <v>0.01</v>
      </c>
      <c r="G103" s="14">
        <f>DataInTable[[#This Row],[Quantity]]*DataInTable[[#This Row],[Price]]</f>
        <v>224</v>
      </c>
    </row>
    <row r="104" spans="1:7" x14ac:dyDescent="0.3">
      <c r="A104" s="1">
        <v>43291</v>
      </c>
      <c r="B104" t="s">
        <v>8</v>
      </c>
      <c r="C104" t="s">
        <v>12</v>
      </c>
      <c r="D104">
        <v>19</v>
      </c>
      <c r="E104">
        <v>40</v>
      </c>
      <c r="F104" s="2">
        <v>0.1</v>
      </c>
      <c r="G104" s="14">
        <f>DataInTable[[#This Row],[Quantity]]*DataInTable[[#This Row],[Price]]</f>
        <v>760</v>
      </c>
    </row>
    <row r="105" spans="1:7" x14ac:dyDescent="0.3">
      <c r="A105" s="1">
        <v>43291</v>
      </c>
      <c r="B105" t="s">
        <v>10</v>
      </c>
      <c r="C105" t="s">
        <v>13</v>
      </c>
      <c r="D105">
        <v>22</v>
      </c>
      <c r="E105">
        <v>80</v>
      </c>
      <c r="F105" s="2">
        <v>0.09</v>
      </c>
      <c r="G105" s="14">
        <f>DataInTable[[#This Row],[Quantity]]*DataInTable[[#This Row],[Price]]</f>
        <v>1760</v>
      </c>
    </row>
    <row r="106" spans="1:7" x14ac:dyDescent="0.3">
      <c r="A106" s="1">
        <v>43291</v>
      </c>
      <c r="B106" t="s">
        <v>9</v>
      </c>
      <c r="C106" t="s">
        <v>11</v>
      </c>
      <c r="D106">
        <v>18</v>
      </c>
      <c r="E106">
        <v>16</v>
      </c>
      <c r="F106" s="2">
        <v>0.05</v>
      </c>
      <c r="G106" s="14">
        <f>DataInTable[[#This Row],[Quantity]]*DataInTable[[#This Row],[Price]]</f>
        <v>288</v>
      </c>
    </row>
    <row r="107" spans="1:7" x14ac:dyDescent="0.3">
      <c r="A107" s="1">
        <v>43291</v>
      </c>
      <c r="B107" t="s">
        <v>8</v>
      </c>
      <c r="C107" t="s">
        <v>11</v>
      </c>
      <c r="D107">
        <v>18</v>
      </c>
      <c r="E107">
        <v>40</v>
      </c>
      <c r="F107" s="2">
        <v>0.11</v>
      </c>
      <c r="G107" s="14">
        <f>DataInTable[[#This Row],[Quantity]]*DataInTable[[#This Row],[Price]]</f>
        <v>720</v>
      </c>
    </row>
    <row r="108" spans="1:7" x14ac:dyDescent="0.3">
      <c r="A108" s="1">
        <v>43291</v>
      </c>
      <c r="B108" t="s">
        <v>8</v>
      </c>
      <c r="C108" t="s">
        <v>13</v>
      </c>
      <c r="D108">
        <v>21</v>
      </c>
      <c r="E108">
        <v>40</v>
      </c>
      <c r="F108" s="2">
        <v>0.01</v>
      </c>
      <c r="G108" s="14">
        <f>DataInTable[[#This Row],[Quantity]]*DataInTable[[#This Row],[Price]]</f>
        <v>840</v>
      </c>
    </row>
    <row r="109" spans="1:7" x14ac:dyDescent="0.3">
      <c r="A109" s="1">
        <v>43291</v>
      </c>
      <c r="B109" t="s">
        <v>10</v>
      </c>
      <c r="C109" t="s">
        <v>11</v>
      </c>
      <c r="D109">
        <v>6</v>
      </c>
      <c r="E109">
        <v>80</v>
      </c>
      <c r="F109" s="2">
        <v>7.0000000000000007E-2</v>
      </c>
      <c r="G109" s="14">
        <f>DataInTable[[#This Row],[Quantity]]*DataInTable[[#This Row],[Price]]</f>
        <v>480</v>
      </c>
    </row>
    <row r="110" spans="1:7" x14ac:dyDescent="0.3">
      <c r="A110" s="1">
        <v>43291</v>
      </c>
      <c r="B110" t="s">
        <v>7</v>
      </c>
      <c r="C110" t="s">
        <v>13</v>
      </c>
      <c r="D110">
        <v>17</v>
      </c>
      <c r="E110">
        <v>150</v>
      </c>
      <c r="F110" s="2">
        <v>0.02</v>
      </c>
      <c r="G110" s="14">
        <f>DataInTable[[#This Row],[Quantity]]*DataInTable[[#This Row],[Price]]</f>
        <v>2550</v>
      </c>
    </row>
    <row r="111" spans="1:7" x14ac:dyDescent="0.3">
      <c r="A111" s="1">
        <v>43291</v>
      </c>
      <c r="B111" t="s">
        <v>10</v>
      </c>
      <c r="C111" t="s">
        <v>15</v>
      </c>
      <c r="D111">
        <v>16</v>
      </c>
      <c r="E111">
        <v>80</v>
      </c>
      <c r="F111" s="2">
        <v>0.02</v>
      </c>
      <c r="G111" s="14">
        <f>DataInTable[[#This Row],[Quantity]]*DataInTable[[#This Row],[Price]]</f>
        <v>1280</v>
      </c>
    </row>
    <row r="112" spans="1:7" x14ac:dyDescent="0.3">
      <c r="A112" s="1">
        <v>43291</v>
      </c>
      <c r="B112" t="s">
        <v>8</v>
      </c>
      <c r="C112" t="s">
        <v>12</v>
      </c>
      <c r="D112">
        <v>15</v>
      </c>
      <c r="E112">
        <v>40</v>
      </c>
      <c r="F112" s="2">
        <v>0.04</v>
      </c>
      <c r="G112" s="14">
        <f>DataInTable[[#This Row],[Quantity]]*DataInTable[[#This Row],[Price]]</f>
        <v>600</v>
      </c>
    </row>
    <row r="113" spans="1:7" x14ac:dyDescent="0.3">
      <c r="A113" s="1">
        <v>43291</v>
      </c>
      <c r="B113" t="s">
        <v>6</v>
      </c>
      <c r="C113" t="s">
        <v>14</v>
      </c>
      <c r="D113">
        <v>2</v>
      </c>
      <c r="E113">
        <v>230</v>
      </c>
      <c r="F113" s="2">
        <v>0.08</v>
      </c>
      <c r="G113" s="14">
        <f>DataInTable[[#This Row],[Quantity]]*DataInTable[[#This Row],[Price]]</f>
        <v>460</v>
      </c>
    </row>
    <row r="114" spans="1:7" x14ac:dyDescent="0.3">
      <c r="A114" s="1">
        <v>43291</v>
      </c>
      <c r="B114" t="s">
        <v>8</v>
      </c>
      <c r="C114" t="s">
        <v>13</v>
      </c>
      <c r="D114">
        <v>3</v>
      </c>
      <c r="E114">
        <v>40</v>
      </c>
      <c r="F114" s="2">
        <v>0.03</v>
      </c>
      <c r="G114" s="14">
        <f>DataInTable[[#This Row],[Quantity]]*DataInTable[[#This Row],[Price]]</f>
        <v>120</v>
      </c>
    </row>
    <row r="115" spans="1:7" x14ac:dyDescent="0.3">
      <c r="A115" s="1">
        <v>43291</v>
      </c>
      <c r="B115" t="s">
        <v>6</v>
      </c>
      <c r="C115" t="s">
        <v>13</v>
      </c>
      <c r="D115">
        <v>21</v>
      </c>
      <c r="E115">
        <v>230</v>
      </c>
      <c r="F115" s="2">
        <v>0.05</v>
      </c>
      <c r="G115" s="14">
        <f>DataInTable[[#This Row],[Quantity]]*DataInTable[[#This Row],[Price]]</f>
        <v>4830</v>
      </c>
    </row>
    <row r="116" spans="1:7" x14ac:dyDescent="0.3">
      <c r="A116" s="1">
        <v>43291</v>
      </c>
      <c r="B116" t="s">
        <v>7</v>
      </c>
      <c r="C116" t="s">
        <v>11</v>
      </c>
      <c r="D116">
        <v>11</v>
      </c>
      <c r="E116">
        <v>150</v>
      </c>
      <c r="F116" s="2">
        <v>0.05</v>
      </c>
      <c r="G116" s="14">
        <f>DataInTable[[#This Row],[Quantity]]*DataInTable[[#This Row],[Price]]</f>
        <v>1650</v>
      </c>
    </row>
    <row r="117" spans="1:7" x14ac:dyDescent="0.3">
      <c r="A117" s="1">
        <v>43292</v>
      </c>
      <c r="B117" t="s">
        <v>7</v>
      </c>
      <c r="C117" t="s">
        <v>12</v>
      </c>
      <c r="D117">
        <v>15</v>
      </c>
      <c r="E117">
        <v>150</v>
      </c>
      <c r="F117" s="2">
        <v>0.02</v>
      </c>
      <c r="G117" s="14">
        <f>DataInTable[[#This Row],[Quantity]]*DataInTable[[#This Row],[Price]]</f>
        <v>2250</v>
      </c>
    </row>
    <row r="118" spans="1:7" x14ac:dyDescent="0.3">
      <c r="A118" s="1">
        <v>43292</v>
      </c>
      <c r="B118" t="s">
        <v>10</v>
      </c>
      <c r="C118" t="s">
        <v>14</v>
      </c>
      <c r="D118">
        <v>16</v>
      </c>
      <c r="E118">
        <v>80</v>
      </c>
      <c r="F118" s="2">
        <v>0.1</v>
      </c>
      <c r="G118" s="14">
        <f>DataInTable[[#This Row],[Quantity]]*DataInTable[[#This Row],[Price]]</f>
        <v>1280</v>
      </c>
    </row>
    <row r="119" spans="1:7" x14ac:dyDescent="0.3">
      <c r="A119" s="1">
        <v>43292</v>
      </c>
      <c r="B119" t="s">
        <v>6</v>
      </c>
      <c r="C119" t="s">
        <v>13</v>
      </c>
      <c r="D119">
        <v>17</v>
      </c>
      <c r="E119">
        <v>230</v>
      </c>
      <c r="F119" s="2">
        <v>0.11</v>
      </c>
      <c r="G119" s="14">
        <f>DataInTable[[#This Row],[Quantity]]*DataInTable[[#This Row],[Price]]</f>
        <v>3910</v>
      </c>
    </row>
    <row r="120" spans="1:7" x14ac:dyDescent="0.3">
      <c r="A120" s="1">
        <v>43292</v>
      </c>
      <c r="B120" t="s">
        <v>8</v>
      </c>
      <c r="C120" t="s">
        <v>13</v>
      </c>
      <c r="D120">
        <v>16</v>
      </c>
      <c r="E120">
        <v>40</v>
      </c>
      <c r="F120" s="2">
        <v>0.11</v>
      </c>
      <c r="G120" s="14">
        <f>DataInTable[[#This Row],[Quantity]]*DataInTable[[#This Row],[Price]]</f>
        <v>640</v>
      </c>
    </row>
    <row r="121" spans="1:7" x14ac:dyDescent="0.3">
      <c r="A121" s="1">
        <v>43292</v>
      </c>
      <c r="B121" t="s">
        <v>10</v>
      </c>
      <c r="C121" t="s">
        <v>14</v>
      </c>
      <c r="D121">
        <v>2</v>
      </c>
      <c r="E121">
        <v>80</v>
      </c>
      <c r="F121" s="2">
        <v>0.08</v>
      </c>
      <c r="G121" s="14">
        <f>DataInTable[[#This Row],[Quantity]]*DataInTable[[#This Row],[Price]]</f>
        <v>160</v>
      </c>
    </row>
    <row r="122" spans="1:7" x14ac:dyDescent="0.3">
      <c r="A122" s="1">
        <v>43292</v>
      </c>
      <c r="B122" t="s">
        <v>7</v>
      </c>
      <c r="C122" t="s">
        <v>12</v>
      </c>
      <c r="D122">
        <v>22</v>
      </c>
      <c r="E122">
        <v>150</v>
      </c>
      <c r="F122" s="2">
        <v>0.02</v>
      </c>
      <c r="G122" s="14">
        <f>DataInTable[[#This Row],[Quantity]]*DataInTable[[#This Row],[Price]]</f>
        <v>3300</v>
      </c>
    </row>
    <row r="123" spans="1:7" x14ac:dyDescent="0.3">
      <c r="A123" s="1">
        <v>43292</v>
      </c>
      <c r="B123" t="s">
        <v>10</v>
      </c>
      <c r="C123" t="s">
        <v>11</v>
      </c>
      <c r="D123">
        <v>16</v>
      </c>
      <c r="E123">
        <v>80</v>
      </c>
      <c r="F123" s="2">
        <v>0.03</v>
      </c>
      <c r="G123" s="14">
        <f>DataInTable[[#This Row],[Quantity]]*DataInTable[[#This Row],[Price]]</f>
        <v>1280</v>
      </c>
    </row>
    <row r="124" spans="1:7" x14ac:dyDescent="0.3">
      <c r="A124" s="1">
        <v>43293</v>
      </c>
      <c r="B124" t="s">
        <v>9</v>
      </c>
      <c r="C124" t="s">
        <v>11</v>
      </c>
      <c r="D124">
        <v>20</v>
      </c>
      <c r="E124">
        <v>16</v>
      </c>
      <c r="F124" s="2">
        <v>0.11</v>
      </c>
      <c r="G124" s="14">
        <f>DataInTable[[#This Row],[Quantity]]*DataInTable[[#This Row],[Price]]</f>
        <v>320</v>
      </c>
    </row>
    <row r="125" spans="1:7" x14ac:dyDescent="0.3">
      <c r="A125" s="1">
        <v>43293</v>
      </c>
      <c r="B125" t="s">
        <v>10</v>
      </c>
      <c r="C125" t="s">
        <v>13</v>
      </c>
      <c r="D125">
        <v>9</v>
      </c>
      <c r="E125">
        <v>80</v>
      </c>
      <c r="F125" s="2">
        <v>7.0000000000000007E-2</v>
      </c>
      <c r="G125" s="14">
        <f>DataInTable[[#This Row],[Quantity]]*DataInTable[[#This Row],[Price]]</f>
        <v>720</v>
      </c>
    </row>
    <row r="126" spans="1:7" x14ac:dyDescent="0.3">
      <c r="A126" s="1">
        <v>43293</v>
      </c>
      <c r="B126" t="s">
        <v>6</v>
      </c>
      <c r="C126" t="s">
        <v>13</v>
      </c>
      <c r="D126">
        <v>5</v>
      </c>
      <c r="E126">
        <v>230</v>
      </c>
      <c r="F126" s="2">
        <v>0.12</v>
      </c>
      <c r="G126" s="14">
        <f>DataInTable[[#This Row],[Quantity]]*DataInTable[[#This Row],[Price]]</f>
        <v>1150</v>
      </c>
    </row>
    <row r="127" spans="1:7" x14ac:dyDescent="0.3">
      <c r="A127" s="1">
        <v>43293</v>
      </c>
      <c r="B127" t="s">
        <v>9</v>
      </c>
      <c r="C127" t="s">
        <v>11</v>
      </c>
      <c r="D127">
        <v>20</v>
      </c>
      <c r="E127">
        <v>16</v>
      </c>
      <c r="F127" s="2">
        <v>0.01</v>
      </c>
      <c r="G127" s="14">
        <f>DataInTable[[#This Row],[Quantity]]*DataInTable[[#This Row],[Price]]</f>
        <v>320</v>
      </c>
    </row>
    <row r="128" spans="1:7" x14ac:dyDescent="0.3">
      <c r="A128" s="1">
        <v>43293</v>
      </c>
      <c r="B128" t="s">
        <v>9</v>
      </c>
      <c r="C128" t="s">
        <v>11</v>
      </c>
      <c r="D128">
        <v>16</v>
      </c>
      <c r="E128">
        <v>16</v>
      </c>
      <c r="F128" s="2">
        <v>0.03</v>
      </c>
      <c r="G128" s="14">
        <f>DataInTable[[#This Row],[Quantity]]*DataInTable[[#This Row],[Price]]</f>
        <v>256</v>
      </c>
    </row>
    <row r="129" spans="1:7" x14ac:dyDescent="0.3">
      <c r="A129" s="1">
        <v>43293</v>
      </c>
      <c r="B129" t="s">
        <v>7</v>
      </c>
      <c r="C129" t="s">
        <v>14</v>
      </c>
      <c r="D129">
        <v>15</v>
      </c>
      <c r="E129">
        <v>150</v>
      </c>
      <c r="F129" s="2">
        <v>0.05</v>
      </c>
      <c r="G129" s="14">
        <f>DataInTable[[#This Row],[Quantity]]*DataInTable[[#This Row],[Price]]</f>
        <v>2250</v>
      </c>
    </row>
    <row r="130" spans="1:7" x14ac:dyDescent="0.3">
      <c r="A130" s="1">
        <v>43293</v>
      </c>
      <c r="B130" t="s">
        <v>6</v>
      </c>
      <c r="C130" t="s">
        <v>12</v>
      </c>
      <c r="D130">
        <v>19</v>
      </c>
      <c r="E130">
        <v>230</v>
      </c>
      <c r="F130" s="2">
        <v>0.11</v>
      </c>
      <c r="G130" s="14">
        <f>DataInTable[[#This Row],[Quantity]]*DataInTable[[#This Row],[Price]]</f>
        <v>4370</v>
      </c>
    </row>
    <row r="131" spans="1:7" x14ac:dyDescent="0.3">
      <c r="A131" s="1">
        <v>43294</v>
      </c>
      <c r="B131" t="s">
        <v>7</v>
      </c>
      <c r="C131" t="s">
        <v>15</v>
      </c>
      <c r="D131">
        <v>2</v>
      </c>
      <c r="E131">
        <v>150</v>
      </c>
      <c r="F131" s="2">
        <v>0.02</v>
      </c>
      <c r="G131" s="14">
        <f>DataInTable[[#This Row],[Quantity]]*DataInTable[[#This Row],[Price]]</f>
        <v>300</v>
      </c>
    </row>
    <row r="132" spans="1:7" x14ac:dyDescent="0.3">
      <c r="A132" s="1">
        <v>43294</v>
      </c>
      <c r="B132" t="s">
        <v>10</v>
      </c>
      <c r="C132" t="s">
        <v>13</v>
      </c>
      <c r="D132">
        <v>16</v>
      </c>
      <c r="E132">
        <v>80</v>
      </c>
      <c r="F132" s="2">
        <v>0.05</v>
      </c>
      <c r="G132" s="14">
        <f>DataInTable[[#This Row],[Quantity]]*DataInTable[[#This Row],[Price]]</f>
        <v>1280</v>
      </c>
    </row>
    <row r="133" spans="1:7" x14ac:dyDescent="0.3">
      <c r="A133" s="1">
        <v>43294</v>
      </c>
      <c r="B133" t="s">
        <v>8</v>
      </c>
      <c r="C133" t="s">
        <v>15</v>
      </c>
      <c r="D133">
        <v>2</v>
      </c>
      <c r="E133">
        <v>40</v>
      </c>
      <c r="F133" s="2">
        <v>0.03</v>
      </c>
      <c r="G133" s="14">
        <f>DataInTable[[#This Row],[Quantity]]*DataInTable[[#This Row],[Price]]</f>
        <v>80</v>
      </c>
    </row>
    <row r="134" spans="1:7" x14ac:dyDescent="0.3">
      <c r="A134" s="1">
        <v>43294</v>
      </c>
      <c r="B134" t="s">
        <v>10</v>
      </c>
      <c r="C134" t="s">
        <v>12</v>
      </c>
      <c r="D134">
        <v>5</v>
      </c>
      <c r="E134">
        <v>80</v>
      </c>
      <c r="F134" s="2">
        <v>0.04</v>
      </c>
      <c r="G134" s="14">
        <f>DataInTable[[#This Row],[Quantity]]*DataInTable[[#This Row],[Price]]</f>
        <v>400</v>
      </c>
    </row>
    <row r="135" spans="1:7" x14ac:dyDescent="0.3">
      <c r="A135" s="1">
        <v>43294</v>
      </c>
      <c r="B135" t="s">
        <v>6</v>
      </c>
      <c r="C135" t="s">
        <v>14</v>
      </c>
      <c r="D135">
        <v>17</v>
      </c>
      <c r="E135">
        <v>230</v>
      </c>
      <c r="F135" s="2">
        <v>0.12</v>
      </c>
      <c r="G135" s="14">
        <f>DataInTable[[#This Row],[Quantity]]*DataInTable[[#This Row],[Price]]</f>
        <v>3910</v>
      </c>
    </row>
    <row r="136" spans="1:7" x14ac:dyDescent="0.3">
      <c r="A136" s="1">
        <v>43294</v>
      </c>
      <c r="B136" t="s">
        <v>10</v>
      </c>
      <c r="C136" t="s">
        <v>11</v>
      </c>
      <c r="D136">
        <v>8</v>
      </c>
      <c r="E136">
        <v>80</v>
      </c>
      <c r="F136" s="2">
        <v>0.08</v>
      </c>
      <c r="G136" s="14">
        <f>DataInTable[[#This Row],[Quantity]]*DataInTable[[#This Row],[Price]]</f>
        <v>640</v>
      </c>
    </row>
    <row r="137" spans="1:7" x14ac:dyDescent="0.3">
      <c r="A137" s="1">
        <v>43294</v>
      </c>
      <c r="B137" t="s">
        <v>8</v>
      </c>
      <c r="C137" t="s">
        <v>12</v>
      </c>
      <c r="D137">
        <v>4</v>
      </c>
      <c r="E137">
        <v>40</v>
      </c>
      <c r="F137" s="2">
        <v>0.06</v>
      </c>
      <c r="G137" s="14">
        <f>DataInTable[[#This Row],[Quantity]]*DataInTable[[#This Row],[Price]]</f>
        <v>160</v>
      </c>
    </row>
    <row r="138" spans="1:7" x14ac:dyDescent="0.3">
      <c r="A138" s="1">
        <v>43294</v>
      </c>
      <c r="B138" t="s">
        <v>9</v>
      </c>
      <c r="C138" t="s">
        <v>15</v>
      </c>
      <c r="D138">
        <v>17</v>
      </c>
      <c r="E138">
        <v>16</v>
      </c>
      <c r="F138" s="2">
        <v>0.05</v>
      </c>
      <c r="G138" s="14">
        <f>DataInTable[[#This Row],[Quantity]]*DataInTable[[#This Row],[Price]]</f>
        <v>272</v>
      </c>
    </row>
    <row r="139" spans="1:7" x14ac:dyDescent="0.3">
      <c r="A139" s="1">
        <v>43294</v>
      </c>
      <c r="B139" t="s">
        <v>6</v>
      </c>
      <c r="C139" t="s">
        <v>14</v>
      </c>
      <c r="D139">
        <v>8</v>
      </c>
      <c r="E139">
        <v>230</v>
      </c>
      <c r="F139" s="2">
        <v>0.01</v>
      </c>
      <c r="G139" s="14">
        <f>DataInTable[[#This Row],[Quantity]]*DataInTable[[#This Row],[Price]]</f>
        <v>1840</v>
      </c>
    </row>
    <row r="140" spans="1:7" x14ac:dyDescent="0.3">
      <c r="A140" s="1">
        <v>43294</v>
      </c>
      <c r="B140" t="s">
        <v>9</v>
      </c>
      <c r="C140" t="s">
        <v>13</v>
      </c>
      <c r="D140">
        <v>19</v>
      </c>
      <c r="E140">
        <v>16</v>
      </c>
      <c r="F140" s="2">
        <v>0.02</v>
      </c>
      <c r="G140" s="14">
        <f>DataInTable[[#This Row],[Quantity]]*DataInTable[[#This Row],[Price]]</f>
        <v>304</v>
      </c>
    </row>
    <row r="141" spans="1:7" x14ac:dyDescent="0.3">
      <c r="A141" s="1">
        <v>43295</v>
      </c>
      <c r="B141" t="s">
        <v>8</v>
      </c>
      <c r="C141" t="s">
        <v>11</v>
      </c>
      <c r="D141">
        <v>18</v>
      </c>
      <c r="E141">
        <v>40</v>
      </c>
      <c r="F141" s="2">
        <v>0.06</v>
      </c>
      <c r="G141" s="14">
        <f>DataInTable[[#This Row],[Quantity]]*DataInTable[[#This Row],[Price]]</f>
        <v>720</v>
      </c>
    </row>
    <row r="142" spans="1:7" x14ac:dyDescent="0.3">
      <c r="A142" s="1">
        <v>43295</v>
      </c>
      <c r="B142" t="s">
        <v>7</v>
      </c>
      <c r="C142" t="s">
        <v>13</v>
      </c>
      <c r="D142">
        <v>23</v>
      </c>
      <c r="E142">
        <v>150</v>
      </c>
      <c r="F142" s="2">
        <v>0.08</v>
      </c>
      <c r="G142" s="14">
        <f>DataInTable[[#This Row],[Quantity]]*DataInTable[[#This Row],[Price]]</f>
        <v>3450</v>
      </c>
    </row>
    <row r="143" spans="1:7" x14ac:dyDescent="0.3">
      <c r="A143" s="1">
        <v>43295</v>
      </c>
      <c r="B143" t="s">
        <v>6</v>
      </c>
      <c r="C143" t="s">
        <v>11</v>
      </c>
      <c r="D143">
        <v>5</v>
      </c>
      <c r="E143">
        <v>230</v>
      </c>
      <c r="F143" s="2">
        <v>0.1</v>
      </c>
      <c r="G143" s="14">
        <f>DataInTable[[#This Row],[Quantity]]*DataInTable[[#This Row],[Price]]</f>
        <v>1150</v>
      </c>
    </row>
    <row r="144" spans="1:7" x14ac:dyDescent="0.3">
      <c r="A144" s="1">
        <v>43295</v>
      </c>
      <c r="B144" t="s">
        <v>10</v>
      </c>
      <c r="C144" t="s">
        <v>14</v>
      </c>
      <c r="D144">
        <v>21</v>
      </c>
      <c r="E144">
        <v>80</v>
      </c>
      <c r="F144" s="2">
        <v>0.02</v>
      </c>
      <c r="G144" s="14">
        <f>DataInTable[[#This Row],[Quantity]]*DataInTable[[#This Row],[Price]]</f>
        <v>1680</v>
      </c>
    </row>
    <row r="145" spans="1:7" x14ac:dyDescent="0.3">
      <c r="A145" s="1">
        <v>43295</v>
      </c>
      <c r="B145" t="s">
        <v>9</v>
      </c>
      <c r="C145" t="s">
        <v>15</v>
      </c>
      <c r="D145">
        <v>6</v>
      </c>
      <c r="E145">
        <v>16</v>
      </c>
      <c r="F145" s="2">
        <v>7.0000000000000007E-2</v>
      </c>
      <c r="G145" s="14">
        <f>DataInTable[[#This Row],[Quantity]]*DataInTable[[#This Row],[Price]]</f>
        <v>96</v>
      </c>
    </row>
    <row r="146" spans="1:7" x14ac:dyDescent="0.3">
      <c r="A146" s="1">
        <v>43295</v>
      </c>
      <c r="B146" t="s">
        <v>8</v>
      </c>
      <c r="C146" t="s">
        <v>11</v>
      </c>
      <c r="D146">
        <v>9</v>
      </c>
      <c r="E146">
        <v>40</v>
      </c>
      <c r="F146" s="2">
        <v>0.01</v>
      </c>
      <c r="G146" s="14">
        <f>DataInTable[[#This Row],[Quantity]]*DataInTable[[#This Row],[Price]]</f>
        <v>360</v>
      </c>
    </row>
    <row r="147" spans="1:7" x14ac:dyDescent="0.3">
      <c r="A147" s="1">
        <v>43295</v>
      </c>
      <c r="B147" t="s">
        <v>6</v>
      </c>
      <c r="C147" t="s">
        <v>12</v>
      </c>
      <c r="D147">
        <v>9</v>
      </c>
      <c r="E147">
        <v>230</v>
      </c>
      <c r="F147" s="2">
        <v>0.03</v>
      </c>
      <c r="G147" s="14">
        <f>DataInTable[[#This Row],[Quantity]]*DataInTable[[#This Row],[Price]]</f>
        <v>2070</v>
      </c>
    </row>
    <row r="148" spans="1:7" x14ac:dyDescent="0.3">
      <c r="A148" s="1">
        <v>43295</v>
      </c>
      <c r="B148" t="s">
        <v>6</v>
      </c>
      <c r="C148" t="s">
        <v>15</v>
      </c>
      <c r="D148">
        <v>5</v>
      </c>
      <c r="E148">
        <v>230</v>
      </c>
      <c r="F148" s="2">
        <v>0.1</v>
      </c>
      <c r="G148" s="14">
        <f>DataInTable[[#This Row],[Quantity]]*DataInTable[[#This Row],[Price]]</f>
        <v>1150</v>
      </c>
    </row>
    <row r="149" spans="1:7" x14ac:dyDescent="0.3">
      <c r="A149" s="1">
        <v>43295</v>
      </c>
      <c r="B149" t="s">
        <v>8</v>
      </c>
      <c r="C149" t="s">
        <v>14</v>
      </c>
      <c r="D149">
        <v>7</v>
      </c>
      <c r="E149">
        <v>40</v>
      </c>
      <c r="F149" s="2">
        <v>0.11</v>
      </c>
      <c r="G149" s="14">
        <f>DataInTable[[#This Row],[Quantity]]*DataInTable[[#This Row],[Price]]</f>
        <v>280</v>
      </c>
    </row>
    <row r="150" spans="1:7" x14ac:dyDescent="0.3">
      <c r="A150" s="1">
        <v>43295</v>
      </c>
      <c r="B150" t="s">
        <v>6</v>
      </c>
      <c r="C150" t="s">
        <v>11</v>
      </c>
      <c r="D150">
        <v>20</v>
      </c>
      <c r="E150">
        <v>230</v>
      </c>
      <c r="F150" s="2">
        <v>0.04</v>
      </c>
      <c r="G150" s="14">
        <f>DataInTable[[#This Row],[Quantity]]*DataInTable[[#This Row],[Price]]</f>
        <v>4600</v>
      </c>
    </row>
    <row r="151" spans="1:7" x14ac:dyDescent="0.3">
      <c r="A151" s="1">
        <v>43295</v>
      </c>
      <c r="B151" t="s">
        <v>7</v>
      </c>
      <c r="C151" t="s">
        <v>11</v>
      </c>
      <c r="D151">
        <v>22</v>
      </c>
      <c r="E151">
        <v>150</v>
      </c>
      <c r="F151" s="2">
        <v>7.0000000000000007E-2</v>
      </c>
      <c r="G151" s="14">
        <f>DataInTable[[#This Row],[Quantity]]*DataInTable[[#This Row],[Price]]</f>
        <v>3300</v>
      </c>
    </row>
    <row r="152" spans="1:7" x14ac:dyDescent="0.3">
      <c r="A152" s="1">
        <v>43296</v>
      </c>
      <c r="B152" t="s">
        <v>6</v>
      </c>
      <c r="C152" t="s">
        <v>15</v>
      </c>
      <c r="D152">
        <v>6</v>
      </c>
      <c r="E152">
        <v>230</v>
      </c>
      <c r="F152" s="2">
        <v>0.05</v>
      </c>
      <c r="G152" s="14">
        <f>DataInTable[[#This Row],[Quantity]]*DataInTable[[#This Row],[Price]]</f>
        <v>1380</v>
      </c>
    </row>
    <row r="153" spans="1:7" x14ac:dyDescent="0.3">
      <c r="A153" s="1">
        <v>43296</v>
      </c>
      <c r="B153" t="s">
        <v>6</v>
      </c>
      <c r="C153" t="s">
        <v>15</v>
      </c>
      <c r="D153">
        <v>15</v>
      </c>
      <c r="E153">
        <v>230</v>
      </c>
      <c r="F153" s="2">
        <v>0.11</v>
      </c>
      <c r="G153" s="14">
        <f>DataInTable[[#This Row],[Quantity]]*DataInTable[[#This Row],[Price]]</f>
        <v>3450</v>
      </c>
    </row>
    <row r="154" spans="1:7" x14ac:dyDescent="0.3">
      <c r="A154" s="1">
        <v>43296</v>
      </c>
      <c r="B154" t="s">
        <v>8</v>
      </c>
      <c r="C154" t="s">
        <v>12</v>
      </c>
      <c r="D154">
        <v>8</v>
      </c>
      <c r="E154">
        <v>40</v>
      </c>
      <c r="F154" s="2">
        <v>0.09</v>
      </c>
      <c r="G154" s="14">
        <f>DataInTable[[#This Row],[Quantity]]*DataInTable[[#This Row],[Price]]</f>
        <v>320</v>
      </c>
    </row>
    <row r="155" spans="1:7" x14ac:dyDescent="0.3">
      <c r="A155" s="1">
        <v>43296</v>
      </c>
      <c r="B155" t="s">
        <v>8</v>
      </c>
      <c r="C155" t="s">
        <v>11</v>
      </c>
      <c r="D155">
        <v>5</v>
      </c>
      <c r="E155">
        <v>40</v>
      </c>
      <c r="F155" s="2">
        <v>0.06</v>
      </c>
      <c r="G155" s="14">
        <f>DataInTable[[#This Row],[Quantity]]*DataInTable[[#This Row],[Price]]</f>
        <v>200</v>
      </c>
    </row>
    <row r="156" spans="1:7" x14ac:dyDescent="0.3">
      <c r="A156" s="1">
        <v>43296</v>
      </c>
      <c r="B156" t="s">
        <v>10</v>
      </c>
      <c r="C156" t="s">
        <v>13</v>
      </c>
      <c r="D156">
        <v>6</v>
      </c>
      <c r="E156">
        <v>80</v>
      </c>
      <c r="F156" s="2">
        <v>0.09</v>
      </c>
      <c r="G156" s="14">
        <f>DataInTable[[#This Row],[Quantity]]*DataInTable[[#This Row],[Price]]</f>
        <v>480</v>
      </c>
    </row>
    <row r="157" spans="1:7" x14ac:dyDescent="0.3">
      <c r="A157" s="1">
        <v>43296</v>
      </c>
      <c r="B157" t="s">
        <v>8</v>
      </c>
      <c r="C157" t="s">
        <v>14</v>
      </c>
      <c r="D157">
        <v>22</v>
      </c>
      <c r="E157">
        <v>40</v>
      </c>
      <c r="F157" s="2">
        <v>0.01</v>
      </c>
      <c r="G157" s="14">
        <f>DataInTable[[#This Row],[Quantity]]*DataInTable[[#This Row],[Price]]</f>
        <v>880</v>
      </c>
    </row>
    <row r="158" spans="1:7" x14ac:dyDescent="0.3">
      <c r="A158" s="1">
        <v>43296</v>
      </c>
      <c r="B158" t="s">
        <v>9</v>
      </c>
      <c r="C158" t="s">
        <v>11</v>
      </c>
      <c r="D158">
        <v>7</v>
      </c>
      <c r="E158">
        <v>16</v>
      </c>
      <c r="F158" s="2">
        <v>0.08</v>
      </c>
      <c r="G158" s="14">
        <f>DataInTable[[#This Row],[Quantity]]*DataInTable[[#This Row],[Price]]</f>
        <v>112</v>
      </c>
    </row>
    <row r="159" spans="1:7" x14ac:dyDescent="0.3">
      <c r="A159" s="1">
        <v>43296</v>
      </c>
      <c r="B159" t="s">
        <v>7</v>
      </c>
      <c r="C159" t="s">
        <v>15</v>
      </c>
      <c r="D159">
        <v>22</v>
      </c>
      <c r="E159">
        <v>150</v>
      </c>
      <c r="F159" s="2">
        <v>0.04</v>
      </c>
      <c r="G159" s="14">
        <f>DataInTable[[#This Row],[Quantity]]*DataInTable[[#This Row],[Price]]</f>
        <v>3300</v>
      </c>
    </row>
    <row r="160" spans="1:7" x14ac:dyDescent="0.3">
      <c r="A160" s="1">
        <v>43296</v>
      </c>
      <c r="B160" t="s">
        <v>9</v>
      </c>
      <c r="C160" t="s">
        <v>14</v>
      </c>
      <c r="D160">
        <v>15</v>
      </c>
      <c r="E160">
        <v>16</v>
      </c>
      <c r="F160" s="2">
        <v>0.12</v>
      </c>
      <c r="G160" s="14">
        <f>DataInTable[[#This Row],[Quantity]]*DataInTable[[#This Row],[Price]]</f>
        <v>240</v>
      </c>
    </row>
    <row r="161" spans="1:7" x14ac:dyDescent="0.3">
      <c r="A161" s="1">
        <v>43296</v>
      </c>
      <c r="B161" t="s">
        <v>10</v>
      </c>
      <c r="C161" t="s">
        <v>15</v>
      </c>
      <c r="D161">
        <v>20</v>
      </c>
      <c r="E161">
        <v>80</v>
      </c>
      <c r="F161" s="2">
        <v>7.0000000000000007E-2</v>
      </c>
      <c r="G161" s="14">
        <f>DataInTable[[#This Row],[Quantity]]*DataInTable[[#This Row],[Price]]</f>
        <v>1600</v>
      </c>
    </row>
    <row r="162" spans="1:7" x14ac:dyDescent="0.3">
      <c r="A162" s="1">
        <v>43296</v>
      </c>
      <c r="B162" t="s">
        <v>10</v>
      </c>
      <c r="C162" t="s">
        <v>15</v>
      </c>
      <c r="D162">
        <v>7</v>
      </c>
      <c r="E162">
        <v>80</v>
      </c>
      <c r="F162" s="2">
        <v>0.05</v>
      </c>
      <c r="G162" s="14">
        <f>DataInTable[[#This Row],[Quantity]]*DataInTable[[#This Row],[Price]]</f>
        <v>560</v>
      </c>
    </row>
    <row r="163" spans="1:7" x14ac:dyDescent="0.3">
      <c r="A163" s="1">
        <v>43296</v>
      </c>
      <c r="B163" t="s">
        <v>10</v>
      </c>
      <c r="C163" t="s">
        <v>12</v>
      </c>
      <c r="D163">
        <v>10</v>
      </c>
      <c r="E163">
        <v>80</v>
      </c>
      <c r="F163" s="2">
        <v>0.11</v>
      </c>
      <c r="G163" s="14">
        <f>DataInTable[[#This Row],[Quantity]]*DataInTable[[#This Row],[Price]]</f>
        <v>800</v>
      </c>
    </row>
    <row r="164" spans="1:7" x14ac:dyDescent="0.3">
      <c r="A164" s="1">
        <v>43296</v>
      </c>
      <c r="B164" t="s">
        <v>10</v>
      </c>
      <c r="C164" t="s">
        <v>12</v>
      </c>
      <c r="D164">
        <v>2</v>
      </c>
      <c r="E164">
        <v>80</v>
      </c>
      <c r="F164" s="2">
        <v>7.0000000000000007E-2</v>
      </c>
      <c r="G164" s="14">
        <f>DataInTable[[#This Row],[Quantity]]*DataInTable[[#This Row],[Price]]</f>
        <v>160</v>
      </c>
    </row>
    <row r="165" spans="1:7" x14ac:dyDescent="0.3">
      <c r="A165" s="1">
        <v>43296</v>
      </c>
      <c r="B165" t="s">
        <v>9</v>
      </c>
      <c r="C165" t="s">
        <v>13</v>
      </c>
      <c r="D165">
        <v>23</v>
      </c>
      <c r="E165">
        <v>16</v>
      </c>
      <c r="F165" s="2">
        <v>0.01</v>
      </c>
      <c r="G165" s="14">
        <f>DataInTable[[#This Row],[Quantity]]*DataInTable[[#This Row],[Price]]</f>
        <v>368</v>
      </c>
    </row>
    <row r="166" spans="1:7" x14ac:dyDescent="0.3">
      <c r="A166" s="1">
        <v>43296</v>
      </c>
      <c r="B166" t="s">
        <v>6</v>
      </c>
      <c r="C166" t="s">
        <v>12</v>
      </c>
      <c r="D166">
        <v>12</v>
      </c>
      <c r="E166">
        <v>230</v>
      </c>
      <c r="F166" s="2">
        <v>0.03</v>
      </c>
      <c r="G166" s="14">
        <f>DataInTable[[#This Row],[Quantity]]*DataInTable[[#This Row],[Price]]</f>
        <v>2760</v>
      </c>
    </row>
    <row r="167" spans="1:7" x14ac:dyDescent="0.3">
      <c r="A167" s="1">
        <v>43297</v>
      </c>
      <c r="B167" t="s">
        <v>6</v>
      </c>
      <c r="C167" t="s">
        <v>11</v>
      </c>
      <c r="D167">
        <v>7</v>
      </c>
      <c r="E167">
        <v>230</v>
      </c>
      <c r="F167" s="2">
        <v>0.08</v>
      </c>
      <c r="G167" s="14">
        <f>DataInTable[[#This Row],[Quantity]]*DataInTable[[#This Row],[Price]]</f>
        <v>1610</v>
      </c>
    </row>
    <row r="168" spans="1:7" x14ac:dyDescent="0.3">
      <c r="A168" s="1">
        <v>43297</v>
      </c>
      <c r="B168" t="s">
        <v>8</v>
      </c>
      <c r="C168" t="s">
        <v>14</v>
      </c>
      <c r="D168">
        <v>11</v>
      </c>
      <c r="E168">
        <v>40</v>
      </c>
      <c r="F168" s="2">
        <v>0.06</v>
      </c>
      <c r="G168" s="14">
        <f>DataInTable[[#This Row],[Quantity]]*DataInTable[[#This Row],[Price]]</f>
        <v>440</v>
      </c>
    </row>
    <row r="169" spans="1:7" x14ac:dyDescent="0.3">
      <c r="A169" s="1">
        <v>43297</v>
      </c>
      <c r="B169" t="s">
        <v>6</v>
      </c>
      <c r="C169" t="s">
        <v>12</v>
      </c>
      <c r="D169">
        <v>7</v>
      </c>
      <c r="E169">
        <v>230</v>
      </c>
      <c r="F169" s="2">
        <v>0.08</v>
      </c>
      <c r="G169" s="14">
        <f>DataInTable[[#This Row],[Quantity]]*DataInTable[[#This Row],[Price]]</f>
        <v>1610</v>
      </c>
    </row>
    <row r="170" spans="1:7" x14ac:dyDescent="0.3">
      <c r="A170" s="1">
        <v>43297</v>
      </c>
      <c r="B170" t="s">
        <v>10</v>
      </c>
      <c r="C170" t="s">
        <v>11</v>
      </c>
      <c r="D170">
        <v>8</v>
      </c>
      <c r="E170">
        <v>80</v>
      </c>
      <c r="F170" s="2">
        <v>0.09</v>
      </c>
      <c r="G170" s="14">
        <f>DataInTable[[#This Row],[Quantity]]*DataInTable[[#This Row],[Price]]</f>
        <v>640</v>
      </c>
    </row>
    <row r="171" spans="1:7" x14ac:dyDescent="0.3">
      <c r="A171" s="1">
        <v>43297</v>
      </c>
      <c r="B171" t="s">
        <v>10</v>
      </c>
      <c r="C171" t="s">
        <v>14</v>
      </c>
      <c r="D171">
        <v>16</v>
      </c>
      <c r="E171">
        <v>80</v>
      </c>
      <c r="F171" s="2">
        <v>7.0000000000000007E-2</v>
      </c>
      <c r="G171" s="14">
        <f>DataInTable[[#This Row],[Quantity]]*DataInTable[[#This Row],[Price]]</f>
        <v>1280</v>
      </c>
    </row>
    <row r="172" spans="1:7" x14ac:dyDescent="0.3">
      <c r="A172" s="1">
        <v>43297</v>
      </c>
      <c r="B172" t="s">
        <v>10</v>
      </c>
      <c r="C172" t="s">
        <v>15</v>
      </c>
      <c r="D172">
        <v>16</v>
      </c>
      <c r="E172">
        <v>80</v>
      </c>
      <c r="F172" s="2">
        <v>0.04</v>
      </c>
      <c r="G172" s="14">
        <f>DataInTable[[#This Row],[Quantity]]*DataInTable[[#This Row],[Price]]</f>
        <v>1280</v>
      </c>
    </row>
    <row r="173" spans="1:7" x14ac:dyDescent="0.3">
      <c r="A173" s="1">
        <v>43297</v>
      </c>
      <c r="B173" t="s">
        <v>9</v>
      </c>
      <c r="C173" t="s">
        <v>15</v>
      </c>
      <c r="D173">
        <v>9</v>
      </c>
      <c r="E173">
        <v>16</v>
      </c>
      <c r="F173" s="2">
        <v>0.05</v>
      </c>
      <c r="G173" s="14">
        <f>DataInTable[[#This Row],[Quantity]]*DataInTable[[#This Row],[Price]]</f>
        <v>144</v>
      </c>
    </row>
    <row r="174" spans="1:7" x14ac:dyDescent="0.3">
      <c r="A174" s="1">
        <v>43297</v>
      </c>
      <c r="B174" t="s">
        <v>7</v>
      </c>
      <c r="C174" t="s">
        <v>13</v>
      </c>
      <c r="D174">
        <v>11</v>
      </c>
      <c r="E174">
        <v>150</v>
      </c>
      <c r="F174" s="2">
        <v>0.09</v>
      </c>
      <c r="G174" s="14">
        <f>DataInTable[[#This Row],[Quantity]]*DataInTable[[#This Row],[Price]]</f>
        <v>1650</v>
      </c>
    </row>
    <row r="175" spans="1:7" x14ac:dyDescent="0.3">
      <c r="A175" s="1">
        <v>43297</v>
      </c>
      <c r="B175" t="s">
        <v>9</v>
      </c>
      <c r="C175" t="s">
        <v>11</v>
      </c>
      <c r="D175">
        <v>4</v>
      </c>
      <c r="E175">
        <v>16</v>
      </c>
      <c r="F175" s="2">
        <v>0.12</v>
      </c>
      <c r="G175" s="14">
        <f>DataInTable[[#This Row],[Quantity]]*DataInTable[[#This Row],[Price]]</f>
        <v>64</v>
      </c>
    </row>
    <row r="176" spans="1:7" x14ac:dyDescent="0.3">
      <c r="A176" s="1">
        <v>43297</v>
      </c>
      <c r="B176" t="s">
        <v>8</v>
      </c>
      <c r="C176" t="s">
        <v>14</v>
      </c>
      <c r="D176">
        <v>15</v>
      </c>
      <c r="E176">
        <v>40</v>
      </c>
      <c r="F176" s="2">
        <v>0.03</v>
      </c>
      <c r="G176" s="14">
        <f>DataInTable[[#This Row],[Quantity]]*DataInTable[[#This Row],[Price]]</f>
        <v>600</v>
      </c>
    </row>
    <row r="177" spans="1:7" x14ac:dyDescent="0.3">
      <c r="A177" s="1">
        <v>43297</v>
      </c>
      <c r="B177" t="s">
        <v>8</v>
      </c>
      <c r="C177" t="s">
        <v>13</v>
      </c>
      <c r="D177">
        <v>20</v>
      </c>
      <c r="E177">
        <v>40</v>
      </c>
      <c r="F177" s="2">
        <v>0.03</v>
      </c>
      <c r="G177" s="14">
        <f>DataInTable[[#This Row],[Quantity]]*DataInTable[[#This Row],[Price]]</f>
        <v>800</v>
      </c>
    </row>
    <row r="178" spans="1:7" x14ac:dyDescent="0.3">
      <c r="A178" s="1">
        <v>43298</v>
      </c>
      <c r="B178" t="s">
        <v>7</v>
      </c>
      <c r="C178" t="s">
        <v>15</v>
      </c>
      <c r="D178">
        <v>9</v>
      </c>
      <c r="E178">
        <v>150</v>
      </c>
      <c r="F178" s="2">
        <v>0.06</v>
      </c>
      <c r="G178" s="14">
        <f>DataInTable[[#This Row],[Quantity]]*DataInTable[[#This Row],[Price]]</f>
        <v>1350</v>
      </c>
    </row>
    <row r="179" spans="1:7" x14ac:dyDescent="0.3">
      <c r="A179" s="1">
        <v>43298</v>
      </c>
      <c r="B179" t="s">
        <v>8</v>
      </c>
      <c r="C179" t="s">
        <v>12</v>
      </c>
      <c r="D179">
        <v>23</v>
      </c>
      <c r="E179">
        <v>40</v>
      </c>
      <c r="F179" s="2">
        <v>0.06</v>
      </c>
      <c r="G179" s="14">
        <f>DataInTable[[#This Row],[Quantity]]*DataInTable[[#This Row],[Price]]</f>
        <v>920</v>
      </c>
    </row>
    <row r="180" spans="1:7" x14ac:dyDescent="0.3">
      <c r="A180" s="1">
        <v>43298</v>
      </c>
      <c r="B180" t="s">
        <v>10</v>
      </c>
      <c r="C180" t="s">
        <v>13</v>
      </c>
      <c r="D180">
        <v>13</v>
      </c>
      <c r="E180">
        <v>80</v>
      </c>
      <c r="F180" s="2">
        <v>0.05</v>
      </c>
      <c r="G180" s="14">
        <f>DataInTable[[#This Row],[Quantity]]*DataInTable[[#This Row],[Price]]</f>
        <v>1040</v>
      </c>
    </row>
    <row r="181" spans="1:7" x14ac:dyDescent="0.3">
      <c r="A181" s="1">
        <v>43298</v>
      </c>
      <c r="B181" t="s">
        <v>9</v>
      </c>
      <c r="C181" t="s">
        <v>11</v>
      </c>
      <c r="D181">
        <v>22</v>
      </c>
      <c r="E181">
        <v>16</v>
      </c>
      <c r="F181" s="2">
        <v>0.01</v>
      </c>
      <c r="G181" s="14">
        <f>DataInTable[[#This Row],[Quantity]]*DataInTable[[#This Row],[Price]]</f>
        <v>352</v>
      </c>
    </row>
    <row r="182" spans="1:7" x14ac:dyDescent="0.3">
      <c r="A182" s="1">
        <v>43298</v>
      </c>
      <c r="B182" t="s">
        <v>8</v>
      </c>
      <c r="C182" t="s">
        <v>11</v>
      </c>
      <c r="D182">
        <v>19</v>
      </c>
      <c r="E182">
        <v>40</v>
      </c>
      <c r="F182" s="2">
        <v>0.04</v>
      </c>
      <c r="G182" s="14">
        <f>DataInTable[[#This Row],[Quantity]]*DataInTable[[#This Row],[Price]]</f>
        <v>760</v>
      </c>
    </row>
    <row r="183" spans="1:7" x14ac:dyDescent="0.3">
      <c r="A183" s="1">
        <v>43298</v>
      </c>
      <c r="B183" t="s">
        <v>10</v>
      </c>
      <c r="C183" t="s">
        <v>14</v>
      </c>
      <c r="D183">
        <v>4</v>
      </c>
      <c r="E183">
        <v>80</v>
      </c>
      <c r="F183" s="2">
        <v>0.11</v>
      </c>
      <c r="G183" s="14">
        <f>DataInTable[[#This Row],[Quantity]]*DataInTable[[#This Row],[Price]]</f>
        <v>320</v>
      </c>
    </row>
    <row r="184" spans="1:7" x14ac:dyDescent="0.3">
      <c r="A184" s="1">
        <v>43298</v>
      </c>
      <c r="B184" t="s">
        <v>9</v>
      </c>
      <c r="C184" t="s">
        <v>11</v>
      </c>
      <c r="D184">
        <v>12</v>
      </c>
      <c r="E184">
        <v>16</v>
      </c>
      <c r="F184" s="2">
        <v>0.11</v>
      </c>
      <c r="G184" s="14">
        <f>DataInTable[[#This Row],[Quantity]]*DataInTable[[#This Row],[Price]]</f>
        <v>192</v>
      </c>
    </row>
    <row r="185" spans="1:7" x14ac:dyDescent="0.3">
      <c r="A185" s="1">
        <v>43298</v>
      </c>
      <c r="B185" t="s">
        <v>7</v>
      </c>
      <c r="C185" t="s">
        <v>12</v>
      </c>
      <c r="D185">
        <v>16</v>
      </c>
      <c r="E185">
        <v>150</v>
      </c>
      <c r="F185" s="2">
        <v>0.08</v>
      </c>
      <c r="G185" s="14">
        <f>DataInTable[[#This Row],[Quantity]]*DataInTable[[#This Row],[Price]]</f>
        <v>2400</v>
      </c>
    </row>
    <row r="186" spans="1:7" x14ac:dyDescent="0.3">
      <c r="A186" s="1">
        <v>43298</v>
      </c>
      <c r="B186" t="s">
        <v>10</v>
      </c>
      <c r="C186" t="s">
        <v>11</v>
      </c>
      <c r="D186">
        <v>7</v>
      </c>
      <c r="E186">
        <v>80</v>
      </c>
      <c r="F186" s="2">
        <v>0.02</v>
      </c>
      <c r="G186" s="14">
        <f>DataInTable[[#This Row],[Quantity]]*DataInTable[[#This Row],[Price]]</f>
        <v>560</v>
      </c>
    </row>
    <row r="187" spans="1:7" x14ac:dyDescent="0.3">
      <c r="A187" s="1">
        <v>43298</v>
      </c>
      <c r="B187" t="s">
        <v>8</v>
      </c>
      <c r="C187" t="s">
        <v>13</v>
      </c>
      <c r="D187">
        <v>20</v>
      </c>
      <c r="E187">
        <v>40</v>
      </c>
      <c r="F187" s="2">
        <v>7.0000000000000007E-2</v>
      </c>
      <c r="G187" s="14">
        <f>DataInTable[[#This Row],[Quantity]]*DataInTable[[#This Row],[Price]]</f>
        <v>800</v>
      </c>
    </row>
    <row r="188" spans="1:7" x14ac:dyDescent="0.3">
      <c r="A188" s="1">
        <v>43298</v>
      </c>
      <c r="B188" t="s">
        <v>10</v>
      </c>
      <c r="C188" t="s">
        <v>12</v>
      </c>
      <c r="D188">
        <v>15</v>
      </c>
      <c r="E188">
        <v>80</v>
      </c>
      <c r="F188" s="2">
        <v>0.12</v>
      </c>
      <c r="G188" s="14">
        <f>DataInTable[[#This Row],[Quantity]]*DataInTable[[#This Row],[Price]]</f>
        <v>1200</v>
      </c>
    </row>
    <row r="189" spans="1:7" x14ac:dyDescent="0.3">
      <c r="A189" s="1">
        <v>43298</v>
      </c>
      <c r="B189" t="s">
        <v>8</v>
      </c>
      <c r="C189" t="s">
        <v>11</v>
      </c>
      <c r="D189">
        <v>5</v>
      </c>
      <c r="E189">
        <v>40</v>
      </c>
      <c r="F189" s="2">
        <v>0.09</v>
      </c>
      <c r="G189" s="14">
        <f>DataInTable[[#This Row],[Quantity]]*DataInTable[[#This Row],[Price]]</f>
        <v>200</v>
      </c>
    </row>
    <row r="190" spans="1:7" x14ac:dyDescent="0.3">
      <c r="A190" s="1">
        <v>43298</v>
      </c>
      <c r="B190" t="s">
        <v>9</v>
      </c>
      <c r="C190" t="s">
        <v>13</v>
      </c>
      <c r="D190">
        <v>12</v>
      </c>
      <c r="E190">
        <v>16</v>
      </c>
      <c r="F190" s="2">
        <v>0.04</v>
      </c>
      <c r="G190" s="14">
        <f>DataInTable[[#This Row],[Quantity]]*DataInTable[[#This Row],[Price]]</f>
        <v>192</v>
      </c>
    </row>
    <row r="191" spans="1:7" x14ac:dyDescent="0.3">
      <c r="A191" s="1">
        <v>43299</v>
      </c>
      <c r="B191" t="s">
        <v>7</v>
      </c>
      <c r="C191" t="s">
        <v>14</v>
      </c>
      <c r="D191">
        <v>3</v>
      </c>
      <c r="E191">
        <v>150</v>
      </c>
      <c r="F191" s="2">
        <v>0.01</v>
      </c>
      <c r="G191" s="14">
        <f>DataInTable[[#This Row],[Quantity]]*DataInTable[[#This Row],[Price]]</f>
        <v>450</v>
      </c>
    </row>
    <row r="192" spans="1:7" x14ac:dyDescent="0.3">
      <c r="A192" s="1">
        <v>43299</v>
      </c>
      <c r="B192" t="s">
        <v>8</v>
      </c>
      <c r="C192" t="s">
        <v>13</v>
      </c>
      <c r="D192">
        <v>7</v>
      </c>
      <c r="E192">
        <v>40</v>
      </c>
      <c r="F192" s="2">
        <v>0.12</v>
      </c>
      <c r="G192" s="14">
        <f>DataInTable[[#This Row],[Quantity]]*DataInTable[[#This Row],[Price]]</f>
        <v>280</v>
      </c>
    </row>
    <row r="193" spans="1:7" x14ac:dyDescent="0.3">
      <c r="A193" s="1">
        <v>43299</v>
      </c>
      <c r="B193" t="s">
        <v>10</v>
      </c>
      <c r="C193" t="s">
        <v>12</v>
      </c>
      <c r="D193">
        <v>2</v>
      </c>
      <c r="E193">
        <v>80</v>
      </c>
      <c r="F193" s="2">
        <v>0.04</v>
      </c>
      <c r="G193" s="14">
        <f>DataInTable[[#This Row],[Quantity]]*DataInTable[[#This Row],[Price]]</f>
        <v>160</v>
      </c>
    </row>
    <row r="194" spans="1:7" x14ac:dyDescent="0.3">
      <c r="A194" s="1">
        <v>43299</v>
      </c>
      <c r="B194" t="s">
        <v>8</v>
      </c>
      <c r="C194" t="s">
        <v>14</v>
      </c>
      <c r="D194">
        <v>6</v>
      </c>
      <c r="E194">
        <v>40</v>
      </c>
      <c r="F194" s="2">
        <v>7.0000000000000007E-2</v>
      </c>
      <c r="G194" s="14">
        <f>DataInTable[[#This Row],[Quantity]]*DataInTable[[#This Row],[Price]]</f>
        <v>240</v>
      </c>
    </row>
    <row r="195" spans="1:7" x14ac:dyDescent="0.3">
      <c r="A195" s="1">
        <v>43299</v>
      </c>
      <c r="B195" t="s">
        <v>9</v>
      </c>
      <c r="C195" t="s">
        <v>15</v>
      </c>
      <c r="D195">
        <v>6</v>
      </c>
      <c r="E195">
        <v>16</v>
      </c>
      <c r="F195" s="2">
        <v>0.06</v>
      </c>
      <c r="G195" s="14">
        <f>DataInTable[[#This Row],[Quantity]]*DataInTable[[#This Row],[Price]]</f>
        <v>96</v>
      </c>
    </row>
    <row r="196" spans="1:7" x14ac:dyDescent="0.3">
      <c r="A196" s="1">
        <v>43299</v>
      </c>
      <c r="B196" t="s">
        <v>9</v>
      </c>
      <c r="C196" t="s">
        <v>11</v>
      </c>
      <c r="D196">
        <v>7</v>
      </c>
      <c r="E196">
        <v>16</v>
      </c>
      <c r="F196" s="2">
        <v>0.02</v>
      </c>
      <c r="G196" s="14">
        <f>DataInTable[[#This Row],[Quantity]]*DataInTable[[#This Row],[Price]]</f>
        <v>112</v>
      </c>
    </row>
    <row r="197" spans="1:7" x14ac:dyDescent="0.3">
      <c r="A197" s="1">
        <v>43299</v>
      </c>
      <c r="B197" t="s">
        <v>9</v>
      </c>
      <c r="C197" t="s">
        <v>12</v>
      </c>
      <c r="D197">
        <v>20</v>
      </c>
      <c r="E197">
        <v>16</v>
      </c>
      <c r="F197" s="2">
        <v>0.06</v>
      </c>
      <c r="G197" s="14">
        <f>DataInTable[[#This Row],[Quantity]]*DataInTable[[#This Row],[Price]]</f>
        <v>320</v>
      </c>
    </row>
    <row r="198" spans="1:7" x14ac:dyDescent="0.3">
      <c r="A198" s="1">
        <v>43299</v>
      </c>
      <c r="B198" t="s">
        <v>9</v>
      </c>
      <c r="C198" t="s">
        <v>12</v>
      </c>
      <c r="D198">
        <v>21</v>
      </c>
      <c r="E198">
        <v>16</v>
      </c>
      <c r="F198" s="2">
        <v>0.02</v>
      </c>
      <c r="G198" s="14">
        <f>DataInTable[[#This Row],[Quantity]]*DataInTable[[#This Row],[Price]]</f>
        <v>336</v>
      </c>
    </row>
    <row r="199" spans="1:7" x14ac:dyDescent="0.3">
      <c r="A199" s="1">
        <v>43299</v>
      </c>
      <c r="B199" t="s">
        <v>10</v>
      </c>
      <c r="C199" t="s">
        <v>14</v>
      </c>
      <c r="D199">
        <v>21</v>
      </c>
      <c r="E199">
        <v>80</v>
      </c>
      <c r="F199" s="2">
        <v>0.05</v>
      </c>
      <c r="G199" s="14">
        <f>DataInTable[[#This Row],[Quantity]]*DataInTable[[#This Row],[Price]]</f>
        <v>1680</v>
      </c>
    </row>
    <row r="200" spans="1:7" x14ac:dyDescent="0.3">
      <c r="A200" s="1">
        <v>43299</v>
      </c>
      <c r="B200" t="s">
        <v>9</v>
      </c>
      <c r="C200" t="s">
        <v>14</v>
      </c>
      <c r="D200">
        <v>10</v>
      </c>
      <c r="E200">
        <v>16</v>
      </c>
      <c r="F200" s="2">
        <v>0.01</v>
      </c>
      <c r="G200" s="14">
        <f>DataInTable[[#This Row],[Quantity]]*DataInTable[[#This Row],[Price]]</f>
        <v>160</v>
      </c>
    </row>
    <row r="201" spans="1:7" x14ac:dyDescent="0.3">
      <c r="A201" s="1">
        <v>43300</v>
      </c>
      <c r="B201" t="s">
        <v>6</v>
      </c>
      <c r="C201" t="s">
        <v>14</v>
      </c>
      <c r="D201">
        <v>2</v>
      </c>
      <c r="E201">
        <v>230</v>
      </c>
      <c r="F201" s="2">
        <v>0.09</v>
      </c>
      <c r="G201" s="14">
        <f>DataInTable[[#This Row],[Quantity]]*DataInTable[[#This Row],[Price]]</f>
        <v>460</v>
      </c>
    </row>
    <row r="202" spans="1:7" x14ac:dyDescent="0.3">
      <c r="A202" s="1">
        <v>43300</v>
      </c>
      <c r="B202" t="s">
        <v>7</v>
      </c>
      <c r="C202" t="s">
        <v>11</v>
      </c>
      <c r="D202">
        <v>20</v>
      </c>
      <c r="E202">
        <v>150</v>
      </c>
      <c r="F202" s="2">
        <v>0.03</v>
      </c>
      <c r="G202" s="14">
        <f>DataInTable[[#This Row],[Quantity]]*DataInTable[[#This Row],[Price]]</f>
        <v>3000</v>
      </c>
    </row>
    <row r="203" spans="1:7" x14ac:dyDescent="0.3">
      <c r="A203" s="1">
        <v>43300</v>
      </c>
      <c r="B203" t="s">
        <v>8</v>
      </c>
      <c r="C203" t="s">
        <v>11</v>
      </c>
      <c r="D203">
        <v>23</v>
      </c>
      <c r="E203">
        <v>40</v>
      </c>
      <c r="F203" s="2">
        <v>0.03</v>
      </c>
      <c r="G203" s="14">
        <f>DataInTable[[#This Row],[Quantity]]*DataInTable[[#This Row],[Price]]</f>
        <v>920</v>
      </c>
    </row>
    <row r="204" spans="1:7" x14ac:dyDescent="0.3">
      <c r="A204" s="1">
        <v>43300</v>
      </c>
      <c r="B204" t="s">
        <v>10</v>
      </c>
      <c r="C204" t="s">
        <v>14</v>
      </c>
      <c r="D204">
        <v>17</v>
      </c>
      <c r="E204">
        <v>80</v>
      </c>
      <c r="F204" s="2">
        <v>0.05</v>
      </c>
      <c r="G204" s="14">
        <f>DataInTable[[#This Row],[Quantity]]*DataInTable[[#This Row],[Price]]</f>
        <v>1360</v>
      </c>
    </row>
    <row r="205" spans="1:7" x14ac:dyDescent="0.3">
      <c r="A205" s="1">
        <v>43300</v>
      </c>
      <c r="B205" t="s">
        <v>6</v>
      </c>
      <c r="C205" t="s">
        <v>14</v>
      </c>
      <c r="D205">
        <v>11</v>
      </c>
      <c r="E205">
        <v>230</v>
      </c>
      <c r="F205" s="2">
        <v>0.12</v>
      </c>
      <c r="G205" s="14">
        <f>DataInTable[[#This Row],[Quantity]]*DataInTable[[#This Row],[Price]]</f>
        <v>2530</v>
      </c>
    </row>
    <row r="206" spans="1:7" x14ac:dyDescent="0.3">
      <c r="A206" s="1">
        <v>43300</v>
      </c>
      <c r="B206" t="s">
        <v>7</v>
      </c>
      <c r="C206" t="s">
        <v>12</v>
      </c>
      <c r="D206">
        <v>10</v>
      </c>
      <c r="E206">
        <v>150</v>
      </c>
      <c r="F206" s="2">
        <v>0.01</v>
      </c>
      <c r="G206" s="14">
        <f>DataInTable[[#This Row],[Quantity]]*DataInTable[[#This Row],[Price]]</f>
        <v>1500</v>
      </c>
    </row>
    <row r="207" spans="1:7" x14ac:dyDescent="0.3">
      <c r="A207" s="1">
        <v>43300</v>
      </c>
      <c r="B207" t="s">
        <v>10</v>
      </c>
      <c r="C207" t="s">
        <v>12</v>
      </c>
      <c r="D207">
        <v>17</v>
      </c>
      <c r="E207">
        <v>80</v>
      </c>
      <c r="F207" s="2">
        <v>0.03</v>
      </c>
      <c r="G207" s="14">
        <f>DataInTable[[#This Row],[Quantity]]*DataInTable[[#This Row],[Price]]</f>
        <v>1360</v>
      </c>
    </row>
    <row r="208" spans="1:7" x14ac:dyDescent="0.3">
      <c r="A208" s="1">
        <v>43301</v>
      </c>
      <c r="B208" t="s">
        <v>6</v>
      </c>
      <c r="C208" t="s">
        <v>11</v>
      </c>
      <c r="D208">
        <v>9</v>
      </c>
      <c r="E208">
        <v>230</v>
      </c>
      <c r="F208" s="2">
        <v>7.0000000000000007E-2</v>
      </c>
      <c r="G208" s="14">
        <f>DataInTable[[#This Row],[Quantity]]*DataInTable[[#This Row],[Price]]</f>
        <v>2070</v>
      </c>
    </row>
    <row r="209" spans="1:7" x14ac:dyDescent="0.3">
      <c r="A209" s="1">
        <v>43301</v>
      </c>
      <c r="B209" t="s">
        <v>6</v>
      </c>
      <c r="C209" t="s">
        <v>11</v>
      </c>
      <c r="D209">
        <v>11</v>
      </c>
      <c r="E209">
        <v>230</v>
      </c>
      <c r="F209" s="2">
        <v>0.02</v>
      </c>
      <c r="G209" s="14">
        <f>DataInTable[[#This Row],[Quantity]]*DataInTable[[#This Row],[Price]]</f>
        <v>2530</v>
      </c>
    </row>
    <row r="210" spans="1:7" x14ac:dyDescent="0.3">
      <c r="A210" s="1">
        <v>43301</v>
      </c>
      <c r="B210" t="s">
        <v>8</v>
      </c>
      <c r="C210" t="s">
        <v>15</v>
      </c>
      <c r="D210">
        <v>2</v>
      </c>
      <c r="E210">
        <v>40</v>
      </c>
      <c r="F210" s="2">
        <v>0.02</v>
      </c>
      <c r="G210" s="14">
        <f>DataInTable[[#This Row],[Quantity]]*DataInTable[[#This Row],[Price]]</f>
        <v>80</v>
      </c>
    </row>
    <row r="211" spans="1:7" x14ac:dyDescent="0.3">
      <c r="A211" s="1">
        <v>43301</v>
      </c>
      <c r="B211" t="s">
        <v>6</v>
      </c>
      <c r="C211" t="s">
        <v>13</v>
      </c>
      <c r="D211">
        <v>3</v>
      </c>
      <c r="E211">
        <v>230</v>
      </c>
      <c r="F211" s="2">
        <v>0.1</v>
      </c>
      <c r="G211" s="14">
        <f>DataInTable[[#This Row],[Quantity]]*DataInTable[[#This Row],[Price]]</f>
        <v>690</v>
      </c>
    </row>
    <row r="212" spans="1:7" x14ac:dyDescent="0.3">
      <c r="A212" s="1">
        <v>43301</v>
      </c>
      <c r="B212" t="s">
        <v>8</v>
      </c>
      <c r="C212" t="s">
        <v>13</v>
      </c>
      <c r="D212">
        <v>7</v>
      </c>
      <c r="E212">
        <v>40</v>
      </c>
      <c r="F212" s="2">
        <v>0.05</v>
      </c>
      <c r="G212" s="14">
        <f>DataInTable[[#This Row],[Quantity]]*DataInTable[[#This Row],[Price]]</f>
        <v>280</v>
      </c>
    </row>
    <row r="213" spans="1:7" x14ac:dyDescent="0.3">
      <c r="A213" s="1">
        <v>43301</v>
      </c>
      <c r="B213" t="s">
        <v>7</v>
      </c>
      <c r="C213" t="s">
        <v>12</v>
      </c>
      <c r="D213">
        <v>20</v>
      </c>
      <c r="E213">
        <v>150</v>
      </c>
      <c r="F213" s="2">
        <v>0.09</v>
      </c>
      <c r="G213" s="14">
        <f>DataInTable[[#This Row],[Quantity]]*DataInTable[[#This Row],[Price]]</f>
        <v>3000</v>
      </c>
    </row>
    <row r="214" spans="1:7" x14ac:dyDescent="0.3">
      <c r="A214" s="1">
        <v>43301</v>
      </c>
      <c r="B214" t="s">
        <v>8</v>
      </c>
      <c r="C214" t="s">
        <v>15</v>
      </c>
      <c r="D214">
        <v>4</v>
      </c>
      <c r="E214">
        <v>40</v>
      </c>
      <c r="F214" s="2">
        <v>0.11</v>
      </c>
      <c r="G214" s="14">
        <f>DataInTable[[#This Row],[Quantity]]*DataInTable[[#This Row],[Price]]</f>
        <v>160</v>
      </c>
    </row>
    <row r="215" spans="1:7" x14ac:dyDescent="0.3">
      <c r="A215" s="1">
        <v>43302</v>
      </c>
      <c r="B215" t="s">
        <v>6</v>
      </c>
      <c r="C215" t="s">
        <v>15</v>
      </c>
      <c r="D215">
        <v>2</v>
      </c>
      <c r="E215">
        <v>230</v>
      </c>
      <c r="F215" s="2">
        <v>0.09</v>
      </c>
      <c r="G215" s="14">
        <f>DataInTable[[#This Row],[Quantity]]*DataInTable[[#This Row],[Price]]</f>
        <v>460</v>
      </c>
    </row>
    <row r="216" spans="1:7" x14ac:dyDescent="0.3">
      <c r="A216" s="1">
        <v>43302</v>
      </c>
      <c r="B216" t="s">
        <v>8</v>
      </c>
      <c r="C216" t="s">
        <v>12</v>
      </c>
      <c r="D216">
        <v>7</v>
      </c>
      <c r="E216">
        <v>40</v>
      </c>
      <c r="F216" s="2">
        <v>0.01</v>
      </c>
      <c r="G216" s="14">
        <f>DataInTable[[#This Row],[Quantity]]*DataInTable[[#This Row],[Price]]</f>
        <v>280</v>
      </c>
    </row>
    <row r="217" spans="1:7" x14ac:dyDescent="0.3">
      <c r="A217" s="1">
        <v>43302</v>
      </c>
      <c r="B217" t="s">
        <v>8</v>
      </c>
      <c r="C217" t="s">
        <v>11</v>
      </c>
      <c r="D217">
        <v>2</v>
      </c>
      <c r="E217">
        <v>40</v>
      </c>
      <c r="F217" s="2">
        <v>0.12</v>
      </c>
      <c r="G217" s="14">
        <f>DataInTable[[#This Row],[Quantity]]*DataInTable[[#This Row],[Price]]</f>
        <v>80</v>
      </c>
    </row>
    <row r="218" spans="1:7" x14ac:dyDescent="0.3">
      <c r="A218" s="1">
        <v>43302</v>
      </c>
      <c r="B218" t="s">
        <v>10</v>
      </c>
      <c r="C218" t="s">
        <v>12</v>
      </c>
      <c r="D218">
        <v>3</v>
      </c>
      <c r="E218">
        <v>80</v>
      </c>
      <c r="F218" s="2">
        <v>0.02</v>
      </c>
      <c r="G218" s="14">
        <f>DataInTable[[#This Row],[Quantity]]*DataInTable[[#This Row],[Price]]</f>
        <v>240</v>
      </c>
    </row>
    <row r="219" spans="1:7" x14ac:dyDescent="0.3">
      <c r="A219" s="1">
        <v>43302</v>
      </c>
      <c r="B219" t="s">
        <v>9</v>
      </c>
      <c r="C219" t="s">
        <v>11</v>
      </c>
      <c r="D219">
        <v>18</v>
      </c>
      <c r="E219">
        <v>16</v>
      </c>
      <c r="F219" s="2">
        <v>0.11</v>
      </c>
      <c r="G219" s="14">
        <f>DataInTable[[#This Row],[Quantity]]*DataInTable[[#This Row],[Price]]</f>
        <v>288</v>
      </c>
    </row>
    <row r="220" spans="1:7" x14ac:dyDescent="0.3">
      <c r="A220" s="1">
        <v>43302</v>
      </c>
      <c r="B220" t="s">
        <v>10</v>
      </c>
      <c r="C220" t="s">
        <v>12</v>
      </c>
      <c r="D220">
        <v>5</v>
      </c>
      <c r="E220">
        <v>80</v>
      </c>
      <c r="F220" s="2">
        <v>7.0000000000000007E-2</v>
      </c>
      <c r="G220" s="14">
        <f>DataInTable[[#This Row],[Quantity]]*DataInTable[[#This Row],[Price]]</f>
        <v>400</v>
      </c>
    </row>
    <row r="221" spans="1:7" x14ac:dyDescent="0.3">
      <c r="A221" s="1">
        <v>43302</v>
      </c>
      <c r="B221" t="s">
        <v>9</v>
      </c>
      <c r="C221" t="s">
        <v>15</v>
      </c>
      <c r="D221">
        <v>3</v>
      </c>
      <c r="E221">
        <v>16</v>
      </c>
      <c r="F221" s="2">
        <v>0.05</v>
      </c>
      <c r="G221" s="14">
        <f>DataInTable[[#This Row],[Quantity]]*DataInTable[[#This Row],[Price]]</f>
        <v>48</v>
      </c>
    </row>
    <row r="222" spans="1:7" x14ac:dyDescent="0.3">
      <c r="A222" s="1">
        <v>43302</v>
      </c>
      <c r="B222" t="s">
        <v>10</v>
      </c>
      <c r="C222" t="s">
        <v>14</v>
      </c>
      <c r="D222">
        <v>7</v>
      </c>
      <c r="E222">
        <v>80</v>
      </c>
      <c r="F222" s="2">
        <v>0.02</v>
      </c>
      <c r="G222" s="14">
        <f>DataInTable[[#This Row],[Quantity]]*DataInTable[[#This Row],[Price]]</f>
        <v>560</v>
      </c>
    </row>
    <row r="223" spans="1:7" x14ac:dyDescent="0.3">
      <c r="A223" s="1">
        <v>43302</v>
      </c>
      <c r="B223" t="s">
        <v>7</v>
      </c>
      <c r="C223" t="s">
        <v>14</v>
      </c>
      <c r="D223">
        <v>15</v>
      </c>
      <c r="E223">
        <v>150</v>
      </c>
      <c r="F223" s="2">
        <v>0.08</v>
      </c>
      <c r="G223" s="14">
        <f>DataInTable[[#This Row],[Quantity]]*DataInTable[[#This Row],[Price]]</f>
        <v>2250</v>
      </c>
    </row>
    <row r="224" spans="1:7" x14ac:dyDescent="0.3">
      <c r="A224" s="1">
        <v>43302</v>
      </c>
      <c r="B224" t="s">
        <v>10</v>
      </c>
      <c r="C224" t="s">
        <v>15</v>
      </c>
      <c r="D224">
        <v>10</v>
      </c>
      <c r="E224">
        <v>80</v>
      </c>
      <c r="F224" s="2">
        <v>0.11</v>
      </c>
      <c r="G224" s="14">
        <f>DataInTable[[#This Row],[Quantity]]*DataInTable[[#This Row],[Price]]</f>
        <v>800</v>
      </c>
    </row>
    <row r="225" spans="1:7" x14ac:dyDescent="0.3">
      <c r="A225" s="1">
        <v>43302</v>
      </c>
      <c r="B225" t="s">
        <v>6</v>
      </c>
      <c r="C225" t="s">
        <v>13</v>
      </c>
      <c r="D225">
        <v>13</v>
      </c>
      <c r="E225">
        <v>230</v>
      </c>
      <c r="F225" s="2">
        <v>0.06</v>
      </c>
      <c r="G225" s="14">
        <f>DataInTable[[#This Row],[Quantity]]*DataInTable[[#This Row],[Price]]</f>
        <v>2990</v>
      </c>
    </row>
    <row r="226" spans="1:7" x14ac:dyDescent="0.3">
      <c r="A226" s="1">
        <v>43302</v>
      </c>
      <c r="B226" t="s">
        <v>8</v>
      </c>
      <c r="C226" t="s">
        <v>11</v>
      </c>
      <c r="D226">
        <v>7</v>
      </c>
      <c r="E226">
        <v>40</v>
      </c>
      <c r="F226" s="2">
        <v>0.1</v>
      </c>
      <c r="G226" s="14">
        <f>DataInTable[[#This Row],[Quantity]]*DataInTable[[#This Row],[Price]]</f>
        <v>280</v>
      </c>
    </row>
    <row r="227" spans="1:7" x14ac:dyDescent="0.3">
      <c r="A227" s="1">
        <v>43302</v>
      </c>
      <c r="B227" t="s">
        <v>9</v>
      </c>
      <c r="C227" t="s">
        <v>15</v>
      </c>
      <c r="D227">
        <v>6</v>
      </c>
      <c r="E227">
        <v>16</v>
      </c>
      <c r="F227" s="2">
        <v>0.01</v>
      </c>
      <c r="G227" s="14">
        <f>DataInTable[[#This Row],[Quantity]]*DataInTable[[#This Row],[Price]]</f>
        <v>96</v>
      </c>
    </row>
    <row r="228" spans="1:7" x14ac:dyDescent="0.3">
      <c r="A228" s="1">
        <v>43303</v>
      </c>
      <c r="B228" t="s">
        <v>8</v>
      </c>
      <c r="C228" t="s">
        <v>15</v>
      </c>
      <c r="D228">
        <v>11</v>
      </c>
      <c r="E228">
        <v>40</v>
      </c>
      <c r="F228" s="2">
        <v>0.05</v>
      </c>
      <c r="G228" s="14">
        <f>DataInTable[[#This Row],[Quantity]]*DataInTable[[#This Row],[Price]]</f>
        <v>440</v>
      </c>
    </row>
    <row r="229" spans="1:7" x14ac:dyDescent="0.3">
      <c r="A229" s="1">
        <v>43303</v>
      </c>
      <c r="B229" t="s">
        <v>10</v>
      </c>
      <c r="C229" t="s">
        <v>14</v>
      </c>
      <c r="D229">
        <v>8</v>
      </c>
      <c r="E229">
        <v>80</v>
      </c>
      <c r="F229" s="2">
        <v>0.06</v>
      </c>
      <c r="G229" s="14">
        <f>DataInTable[[#This Row],[Quantity]]*DataInTable[[#This Row],[Price]]</f>
        <v>640</v>
      </c>
    </row>
    <row r="230" spans="1:7" x14ac:dyDescent="0.3">
      <c r="A230" s="1">
        <v>43303</v>
      </c>
      <c r="B230" t="s">
        <v>10</v>
      </c>
      <c r="C230" t="s">
        <v>11</v>
      </c>
      <c r="D230">
        <v>9</v>
      </c>
      <c r="E230">
        <v>80</v>
      </c>
      <c r="F230" s="2">
        <v>0.04</v>
      </c>
      <c r="G230" s="14">
        <f>DataInTable[[#This Row],[Quantity]]*DataInTable[[#This Row],[Price]]</f>
        <v>720</v>
      </c>
    </row>
    <row r="231" spans="1:7" x14ac:dyDescent="0.3">
      <c r="A231" s="1">
        <v>43303</v>
      </c>
      <c r="B231" t="s">
        <v>8</v>
      </c>
      <c r="C231" t="s">
        <v>13</v>
      </c>
      <c r="D231">
        <v>4</v>
      </c>
      <c r="E231">
        <v>40</v>
      </c>
      <c r="F231" s="2">
        <v>0.09</v>
      </c>
      <c r="G231" s="14">
        <f>DataInTable[[#This Row],[Quantity]]*DataInTable[[#This Row],[Price]]</f>
        <v>160</v>
      </c>
    </row>
    <row r="232" spans="1:7" x14ac:dyDescent="0.3">
      <c r="A232" s="1">
        <v>43303</v>
      </c>
      <c r="B232" t="s">
        <v>10</v>
      </c>
      <c r="C232" t="s">
        <v>12</v>
      </c>
      <c r="D232">
        <v>13</v>
      </c>
      <c r="E232">
        <v>80</v>
      </c>
      <c r="F232" s="2">
        <v>0.06</v>
      </c>
      <c r="G232" s="14">
        <f>DataInTable[[#This Row],[Quantity]]*DataInTable[[#This Row],[Price]]</f>
        <v>1040</v>
      </c>
    </row>
    <row r="233" spans="1:7" x14ac:dyDescent="0.3">
      <c r="A233" s="1">
        <v>43303</v>
      </c>
      <c r="B233" t="s">
        <v>7</v>
      </c>
      <c r="C233" t="s">
        <v>13</v>
      </c>
      <c r="D233">
        <v>4</v>
      </c>
      <c r="E233">
        <v>150</v>
      </c>
      <c r="F233" s="2">
        <v>0.05</v>
      </c>
      <c r="G233" s="14">
        <f>DataInTable[[#This Row],[Quantity]]*DataInTable[[#This Row],[Price]]</f>
        <v>600</v>
      </c>
    </row>
    <row r="234" spans="1:7" x14ac:dyDescent="0.3">
      <c r="A234" s="1">
        <v>43303</v>
      </c>
      <c r="B234" t="s">
        <v>6</v>
      </c>
      <c r="C234" t="s">
        <v>15</v>
      </c>
      <c r="D234">
        <v>14</v>
      </c>
      <c r="E234">
        <v>230</v>
      </c>
      <c r="F234" s="2">
        <v>0.12</v>
      </c>
      <c r="G234" s="14">
        <f>DataInTable[[#This Row],[Quantity]]*DataInTable[[#This Row],[Price]]</f>
        <v>3220</v>
      </c>
    </row>
    <row r="235" spans="1:7" x14ac:dyDescent="0.3">
      <c r="A235" s="1">
        <v>43303</v>
      </c>
      <c r="B235" t="s">
        <v>7</v>
      </c>
      <c r="C235" t="s">
        <v>13</v>
      </c>
      <c r="D235">
        <v>13</v>
      </c>
      <c r="E235">
        <v>150</v>
      </c>
      <c r="F235" s="2">
        <v>0.11</v>
      </c>
      <c r="G235" s="14">
        <f>DataInTable[[#This Row],[Quantity]]*DataInTable[[#This Row],[Price]]</f>
        <v>1950</v>
      </c>
    </row>
    <row r="236" spans="1:7" x14ac:dyDescent="0.3">
      <c r="A236" s="1">
        <v>43303</v>
      </c>
      <c r="B236" t="s">
        <v>7</v>
      </c>
      <c r="C236" t="s">
        <v>12</v>
      </c>
      <c r="D236">
        <v>16</v>
      </c>
      <c r="E236">
        <v>150</v>
      </c>
      <c r="F236" s="2">
        <v>0.03</v>
      </c>
      <c r="G236" s="14">
        <f>DataInTable[[#This Row],[Quantity]]*DataInTable[[#This Row],[Price]]</f>
        <v>2400</v>
      </c>
    </row>
    <row r="237" spans="1:7" x14ac:dyDescent="0.3">
      <c r="A237" s="1">
        <v>43303</v>
      </c>
      <c r="B237" t="s">
        <v>9</v>
      </c>
      <c r="C237" t="s">
        <v>11</v>
      </c>
      <c r="D237">
        <v>7</v>
      </c>
      <c r="E237">
        <v>16</v>
      </c>
      <c r="F237" s="2">
        <v>0.12</v>
      </c>
      <c r="G237" s="14">
        <f>DataInTable[[#This Row],[Quantity]]*DataInTable[[#This Row],[Price]]</f>
        <v>112</v>
      </c>
    </row>
    <row r="238" spans="1:7" x14ac:dyDescent="0.3">
      <c r="A238" s="1">
        <v>43303</v>
      </c>
      <c r="B238" t="s">
        <v>7</v>
      </c>
      <c r="C238" t="s">
        <v>14</v>
      </c>
      <c r="D238">
        <v>9</v>
      </c>
      <c r="E238">
        <v>150</v>
      </c>
      <c r="F238" s="2">
        <v>0.02</v>
      </c>
      <c r="G238" s="14">
        <f>DataInTable[[#This Row],[Quantity]]*DataInTable[[#This Row],[Price]]</f>
        <v>1350</v>
      </c>
    </row>
    <row r="239" spans="1:7" x14ac:dyDescent="0.3">
      <c r="A239" s="1">
        <v>43303</v>
      </c>
      <c r="B239" t="s">
        <v>9</v>
      </c>
      <c r="C239" t="s">
        <v>11</v>
      </c>
      <c r="D239">
        <v>10</v>
      </c>
      <c r="E239">
        <v>16</v>
      </c>
      <c r="F239" s="2">
        <v>0.08</v>
      </c>
      <c r="G239" s="14">
        <f>DataInTable[[#This Row],[Quantity]]*DataInTable[[#This Row],[Price]]</f>
        <v>160</v>
      </c>
    </row>
    <row r="240" spans="1:7" x14ac:dyDescent="0.3">
      <c r="A240" s="1">
        <v>43303</v>
      </c>
      <c r="B240" t="s">
        <v>10</v>
      </c>
      <c r="C240" t="s">
        <v>14</v>
      </c>
      <c r="D240">
        <v>15</v>
      </c>
      <c r="E240">
        <v>80</v>
      </c>
      <c r="F240" s="2">
        <v>0.08</v>
      </c>
      <c r="G240" s="14">
        <f>DataInTable[[#This Row],[Quantity]]*DataInTable[[#This Row],[Price]]</f>
        <v>1200</v>
      </c>
    </row>
    <row r="241" spans="1:7" x14ac:dyDescent="0.3">
      <c r="A241" s="1">
        <v>43303</v>
      </c>
      <c r="B241" t="s">
        <v>10</v>
      </c>
      <c r="C241" t="s">
        <v>13</v>
      </c>
      <c r="D241">
        <v>9</v>
      </c>
      <c r="E241">
        <v>80</v>
      </c>
      <c r="F241" s="2">
        <v>0.06</v>
      </c>
      <c r="G241" s="14">
        <f>DataInTable[[#This Row],[Quantity]]*DataInTable[[#This Row],[Price]]</f>
        <v>720</v>
      </c>
    </row>
    <row r="242" spans="1:7" x14ac:dyDescent="0.3">
      <c r="A242" s="1">
        <v>43304</v>
      </c>
      <c r="B242" t="s">
        <v>9</v>
      </c>
      <c r="C242" t="s">
        <v>14</v>
      </c>
      <c r="D242">
        <v>7</v>
      </c>
      <c r="E242">
        <v>16</v>
      </c>
      <c r="F242" s="2">
        <v>0.08</v>
      </c>
      <c r="G242" s="14">
        <f>DataInTable[[#This Row],[Quantity]]*DataInTable[[#This Row],[Price]]</f>
        <v>112</v>
      </c>
    </row>
    <row r="243" spans="1:7" x14ac:dyDescent="0.3">
      <c r="A243" s="1">
        <v>43304</v>
      </c>
      <c r="B243" t="s">
        <v>7</v>
      </c>
      <c r="C243" t="s">
        <v>13</v>
      </c>
      <c r="D243">
        <v>7</v>
      </c>
      <c r="E243">
        <v>150</v>
      </c>
      <c r="F243" s="2">
        <v>0.03</v>
      </c>
      <c r="G243" s="14">
        <f>DataInTable[[#This Row],[Quantity]]*DataInTable[[#This Row],[Price]]</f>
        <v>1050</v>
      </c>
    </row>
    <row r="244" spans="1:7" x14ac:dyDescent="0.3">
      <c r="A244" s="1">
        <v>43304</v>
      </c>
      <c r="B244" t="s">
        <v>6</v>
      </c>
      <c r="C244" t="s">
        <v>14</v>
      </c>
      <c r="D244">
        <v>16</v>
      </c>
      <c r="E244">
        <v>230</v>
      </c>
      <c r="F244" s="2">
        <v>0.11</v>
      </c>
      <c r="G244" s="14">
        <f>DataInTable[[#This Row],[Quantity]]*DataInTable[[#This Row],[Price]]</f>
        <v>3680</v>
      </c>
    </row>
    <row r="245" spans="1:7" x14ac:dyDescent="0.3">
      <c r="A245" s="1">
        <v>43304</v>
      </c>
      <c r="B245" t="s">
        <v>9</v>
      </c>
      <c r="C245" t="s">
        <v>14</v>
      </c>
      <c r="D245">
        <v>18</v>
      </c>
      <c r="E245">
        <v>16</v>
      </c>
      <c r="F245" s="2">
        <v>0.04</v>
      </c>
      <c r="G245" s="14">
        <f>DataInTable[[#This Row],[Quantity]]*DataInTable[[#This Row],[Price]]</f>
        <v>288</v>
      </c>
    </row>
    <row r="246" spans="1:7" x14ac:dyDescent="0.3">
      <c r="A246" s="1">
        <v>43304</v>
      </c>
      <c r="B246" t="s">
        <v>6</v>
      </c>
      <c r="C246" t="s">
        <v>13</v>
      </c>
      <c r="D246">
        <v>20</v>
      </c>
      <c r="E246">
        <v>230</v>
      </c>
      <c r="F246" s="2">
        <v>0.11</v>
      </c>
      <c r="G246" s="14">
        <f>DataInTable[[#This Row],[Quantity]]*DataInTable[[#This Row],[Price]]</f>
        <v>4600</v>
      </c>
    </row>
    <row r="247" spans="1:7" x14ac:dyDescent="0.3">
      <c r="A247" s="1">
        <v>43304</v>
      </c>
      <c r="B247" t="s">
        <v>7</v>
      </c>
      <c r="C247" t="s">
        <v>11</v>
      </c>
      <c r="D247">
        <v>7</v>
      </c>
      <c r="E247">
        <v>150</v>
      </c>
      <c r="F247" s="2">
        <v>0.02</v>
      </c>
      <c r="G247" s="14">
        <f>DataInTable[[#This Row],[Quantity]]*DataInTable[[#This Row],[Price]]</f>
        <v>1050</v>
      </c>
    </row>
    <row r="248" spans="1:7" x14ac:dyDescent="0.3">
      <c r="A248" s="1">
        <v>43304</v>
      </c>
      <c r="B248" t="s">
        <v>9</v>
      </c>
      <c r="C248" t="s">
        <v>15</v>
      </c>
      <c r="D248">
        <v>11</v>
      </c>
      <c r="E248">
        <v>16</v>
      </c>
      <c r="F248" s="2">
        <v>0.12</v>
      </c>
      <c r="G248" s="14">
        <f>DataInTable[[#This Row],[Quantity]]*DataInTable[[#This Row],[Price]]</f>
        <v>176</v>
      </c>
    </row>
    <row r="249" spans="1:7" x14ac:dyDescent="0.3">
      <c r="A249" s="1">
        <v>43304</v>
      </c>
      <c r="B249" t="s">
        <v>8</v>
      </c>
      <c r="C249" t="s">
        <v>15</v>
      </c>
      <c r="D249">
        <v>12</v>
      </c>
      <c r="E249">
        <v>40</v>
      </c>
      <c r="F249" s="2">
        <v>0.02</v>
      </c>
      <c r="G249" s="14">
        <f>DataInTable[[#This Row],[Quantity]]*DataInTable[[#This Row],[Price]]</f>
        <v>480</v>
      </c>
    </row>
    <row r="250" spans="1:7" x14ac:dyDescent="0.3">
      <c r="A250" s="1">
        <v>43304</v>
      </c>
      <c r="B250" t="s">
        <v>7</v>
      </c>
      <c r="C250" t="s">
        <v>13</v>
      </c>
      <c r="D250">
        <v>7</v>
      </c>
      <c r="E250">
        <v>150</v>
      </c>
      <c r="F250" s="2">
        <v>0.02</v>
      </c>
      <c r="G250" s="14">
        <f>DataInTable[[#This Row],[Quantity]]*DataInTable[[#This Row],[Price]]</f>
        <v>1050</v>
      </c>
    </row>
    <row r="251" spans="1:7" x14ac:dyDescent="0.3">
      <c r="A251" s="1">
        <v>43304</v>
      </c>
      <c r="B251" t="s">
        <v>10</v>
      </c>
      <c r="C251" t="s">
        <v>15</v>
      </c>
      <c r="D251">
        <v>14</v>
      </c>
      <c r="E251">
        <v>80</v>
      </c>
      <c r="F251" s="2">
        <v>0.1</v>
      </c>
      <c r="G251" s="14">
        <f>DataInTable[[#This Row],[Quantity]]*DataInTable[[#This Row],[Price]]</f>
        <v>1120</v>
      </c>
    </row>
    <row r="252" spans="1:7" x14ac:dyDescent="0.3">
      <c r="A252" s="1">
        <v>43304</v>
      </c>
      <c r="B252" t="s">
        <v>6</v>
      </c>
      <c r="C252" t="s">
        <v>15</v>
      </c>
      <c r="D252">
        <v>12</v>
      </c>
      <c r="E252">
        <v>230</v>
      </c>
      <c r="F252" s="2">
        <v>0.06</v>
      </c>
      <c r="G252" s="14">
        <f>DataInTable[[#This Row],[Quantity]]*DataInTable[[#This Row],[Price]]</f>
        <v>2760</v>
      </c>
    </row>
    <row r="253" spans="1:7" x14ac:dyDescent="0.3">
      <c r="A253" s="1">
        <v>43305</v>
      </c>
      <c r="B253" t="s">
        <v>10</v>
      </c>
      <c r="C253" t="s">
        <v>12</v>
      </c>
      <c r="D253">
        <v>21</v>
      </c>
      <c r="E253">
        <v>80</v>
      </c>
      <c r="F253" s="2">
        <v>0.04</v>
      </c>
      <c r="G253" s="14">
        <f>DataInTable[[#This Row],[Quantity]]*DataInTable[[#This Row],[Price]]</f>
        <v>1680</v>
      </c>
    </row>
    <row r="254" spans="1:7" x14ac:dyDescent="0.3">
      <c r="A254" s="1">
        <v>43305</v>
      </c>
      <c r="B254" t="s">
        <v>7</v>
      </c>
      <c r="C254" t="s">
        <v>11</v>
      </c>
      <c r="D254">
        <v>8</v>
      </c>
      <c r="E254">
        <v>150</v>
      </c>
      <c r="F254" s="2">
        <v>0.09</v>
      </c>
      <c r="G254" s="14">
        <f>DataInTable[[#This Row],[Quantity]]*DataInTable[[#This Row],[Price]]</f>
        <v>1200</v>
      </c>
    </row>
    <row r="255" spans="1:7" x14ac:dyDescent="0.3">
      <c r="A255" s="1">
        <v>43305</v>
      </c>
      <c r="B255" t="s">
        <v>10</v>
      </c>
      <c r="C255" t="s">
        <v>12</v>
      </c>
      <c r="D255">
        <v>16</v>
      </c>
      <c r="E255">
        <v>80</v>
      </c>
      <c r="F255" s="2">
        <v>0.04</v>
      </c>
      <c r="G255" s="14">
        <f>DataInTable[[#This Row],[Quantity]]*DataInTable[[#This Row],[Price]]</f>
        <v>1280</v>
      </c>
    </row>
    <row r="256" spans="1:7" x14ac:dyDescent="0.3">
      <c r="A256" s="1">
        <v>43305</v>
      </c>
      <c r="B256" t="s">
        <v>6</v>
      </c>
      <c r="C256" t="s">
        <v>12</v>
      </c>
      <c r="D256">
        <v>14</v>
      </c>
      <c r="E256">
        <v>230</v>
      </c>
      <c r="F256" s="2">
        <v>0.05</v>
      </c>
      <c r="G256" s="14">
        <f>DataInTable[[#This Row],[Quantity]]*DataInTable[[#This Row],[Price]]</f>
        <v>3220</v>
      </c>
    </row>
    <row r="257" spans="1:7" x14ac:dyDescent="0.3">
      <c r="A257" s="1">
        <v>43305</v>
      </c>
      <c r="B257" t="s">
        <v>8</v>
      </c>
      <c r="C257" t="s">
        <v>15</v>
      </c>
      <c r="D257">
        <v>2</v>
      </c>
      <c r="E257">
        <v>40</v>
      </c>
      <c r="F257" s="2">
        <v>0.03</v>
      </c>
      <c r="G257" s="14">
        <f>DataInTable[[#This Row],[Quantity]]*DataInTable[[#This Row],[Price]]</f>
        <v>80</v>
      </c>
    </row>
    <row r="258" spans="1:7" x14ac:dyDescent="0.3">
      <c r="A258" s="1">
        <v>43305</v>
      </c>
      <c r="B258" t="s">
        <v>7</v>
      </c>
      <c r="C258" t="s">
        <v>11</v>
      </c>
      <c r="D258">
        <v>4</v>
      </c>
      <c r="E258">
        <v>150</v>
      </c>
      <c r="F258" s="2">
        <v>0.1</v>
      </c>
      <c r="G258" s="14">
        <f>DataInTable[[#This Row],[Quantity]]*DataInTable[[#This Row],[Price]]</f>
        <v>600</v>
      </c>
    </row>
    <row r="259" spans="1:7" x14ac:dyDescent="0.3">
      <c r="A259" s="1">
        <v>43305</v>
      </c>
      <c r="B259" t="s">
        <v>10</v>
      </c>
      <c r="C259" t="s">
        <v>15</v>
      </c>
      <c r="D259">
        <v>6</v>
      </c>
      <c r="E259">
        <v>80</v>
      </c>
      <c r="F259" s="2">
        <v>0.01</v>
      </c>
      <c r="G259" s="14">
        <f>DataInTable[[#This Row],[Quantity]]*DataInTable[[#This Row],[Price]]</f>
        <v>480</v>
      </c>
    </row>
    <row r="260" spans="1:7" x14ac:dyDescent="0.3">
      <c r="A260" s="1">
        <v>43305</v>
      </c>
      <c r="B260" t="s">
        <v>8</v>
      </c>
      <c r="C260" t="s">
        <v>15</v>
      </c>
      <c r="D260">
        <v>6</v>
      </c>
      <c r="E260">
        <v>40</v>
      </c>
      <c r="F260" s="2">
        <v>0.06</v>
      </c>
      <c r="G260" s="14">
        <f>DataInTable[[#This Row],[Quantity]]*DataInTable[[#This Row],[Price]]</f>
        <v>240</v>
      </c>
    </row>
    <row r="261" spans="1:7" x14ac:dyDescent="0.3">
      <c r="A261" s="1">
        <v>43305</v>
      </c>
      <c r="B261" t="s">
        <v>7</v>
      </c>
      <c r="C261" t="s">
        <v>11</v>
      </c>
      <c r="D261">
        <v>20</v>
      </c>
      <c r="E261">
        <v>150</v>
      </c>
      <c r="F261" s="2">
        <v>0.04</v>
      </c>
      <c r="G261" s="14">
        <f>DataInTable[[#This Row],[Quantity]]*DataInTable[[#This Row],[Price]]</f>
        <v>3000</v>
      </c>
    </row>
    <row r="262" spans="1:7" x14ac:dyDescent="0.3">
      <c r="A262" s="1">
        <v>43305</v>
      </c>
      <c r="B262" t="s">
        <v>8</v>
      </c>
      <c r="C262" t="s">
        <v>15</v>
      </c>
      <c r="D262">
        <v>18</v>
      </c>
      <c r="E262">
        <v>40</v>
      </c>
      <c r="F262" s="2">
        <v>0.03</v>
      </c>
      <c r="G262" s="14">
        <f>DataInTable[[#This Row],[Quantity]]*DataInTable[[#This Row],[Price]]</f>
        <v>720</v>
      </c>
    </row>
    <row r="263" spans="1:7" x14ac:dyDescent="0.3">
      <c r="A263" s="1">
        <v>43305</v>
      </c>
      <c r="B263" t="s">
        <v>6</v>
      </c>
      <c r="C263" t="s">
        <v>14</v>
      </c>
      <c r="D263">
        <v>18</v>
      </c>
      <c r="E263">
        <v>230</v>
      </c>
      <c r="F263" s="2">
        <v>0.01</v>
      </c>
      <c r="G263" s="14">
        <f>DataInTable[[#This Row],[Quantity]]*DataInTable[[#This Row],[Price]]</f>
        <v>4140</v>
      </c>
    </row>
    <row r="264" spans="1:7" x14ac:dyDescent="0.3">
      <c r="A264" s="1">
        <v>43305</v>
      </c>
      <c r="B264" t="s">
        <v>6</v>
      </c>
      <c r="C264" t="s">
        <v>15</v>
      </c>
      <c r="D264">
        <v>15</v>
      </c>
      <c r="E264">
        <v>230</v>
      </c>
      <c r="F264" s="2">
        <v>0.04</v>
      </c>
      <c r="G264" s="14">
        <f>DataInTable[[#This Row],[Quantity]]*DataInTable[[#This Row],[Price]]</f>
        <v>3450</v>
      </c>
    </row>
    <row r="265" spans="1:7" x14ac:dyDescent="0.3">
      <c r="A265" s="1">
        <v>43305</v>
      </c>
      <c r="B265" t="s">
        <v>9</v>
      </c>
      <c r="C265" t="s">
        <v>12</v>
      </c>
      <c r="D265">
        <v>22</v>
      </c>
      <c r="E265">
        <v>16</v>
      </c>
      <c r="F265" s="2">
        <v>0.01</v>
      </c>
      <c r="G265" s="14">
        <f>DataInTable[[#This Row],[Quantity]]*DataInTable[[#This Row],[Price]]</f>
        <v>352</v>
      </c>
    </row>
    <row r="266" spans="1:7" x14ac:dyDescent="0.3">
      <c r="A266" s="1">
        <v>43305</v>
      </c>
      <c r="B266" t="s">
        <v>7</v>
      </c>
      <c r="C266" t="s">
        <v>11</v>
      </c>
      <c r="D266">
        <v>17</v>
      </c>
      <c r="E266">
        <v>150</v>
      </c>
      <c r="F266" s="2">
        <v>0.12</v>
      </c>
      <c r="G266" s="14">
        <f>DataInTable[[#This Row],[Quantity]]*DataInTable[[#This Row],[Price]]</f>
        <v>2550</v>
      </c>
    </row>
    <row r="267" spans="1:7" x14ac:dyDescent="0.3">
      <c r="A267" s="1">
        <v>43306</v>
      </c>
      <c r="B267" t="s">
        <v>9</v>
      </c>
      <c r="C267" t="s">
        <v>12</v>
      </c>
      <c r="D267">
        <v>5</v>
      </c>
      <c r="E267">
        <v>16</v>
      </c>
      <c r="F267" s="2">
        <v>0.11</v>
      </c>
      <c r="G267" s="14">
        <f>DataInTable[[#This Row],[Quantity]]*DataInTable[[#This Row],[Price]]</f>
        <v>80</v>
      </c>
    </row>
    <row r="268" spans="1:7" x14ac:dyDescent="0.3">
      <c r="A268" s="1">
        <v>43306</v>
      </c>
      <c r="B268" t="s">
        <v>7</v>
      </c>
      <c r="C268" t="s">
        <v>11</v>
      </c>
      <c r="D268">
        <v>23</v>
      </c>
      <c r="E268">
        <v>150</v>
      </c>
      <c r="F268" s="2">
        <v>0.1</v>
      </c>
      <c r="G268" s="14">
        <f>DataInTable[[#This Row],[Quantity]]*DataInTable[[#This Row],[Price]]</f>
        <v>3450</v>
      </c>
    </row>
    <row r="269" spans="1:7" x14ac:dyDescent="0.3">
      <c r="A269" s="1">
        <v>43306</v>
      </c>
      <c r="B269" t="s">
        <v>7</v>
      </c>
      <c r="C269" t="s">
        <v>14</v>
      </c>
      <c r="D269">
        <v>22</v>
      </c>
      <c r="E269">
        <v>150</v>
      </c>
      <c r="F269" s="2">
        <v>0.05</v>
      </c>
      <c r="G269" s="14">
        <f>DataInTable[[#This Row],[Quantity]]*DataInTable[[#This Row],[Price]]</f>
        <v>3300</v>
      </c>
    </row>
    <row r="270" spans="1:7" x14ac:dyDescent="0.3">
      <c r="A270" s="1">
        <v>43306</v>
      </c>
      <c r="B270" t="s">
        <v>9</v>
      </c>
      <c r="C270" t="s">
        <v>13</v>
      </c>
      <c r="D270">
        <v>15</v>
      </c>
      <c r="E270">
        <v>16</v>
      </c>
      <c r="F270" s="2">
        <v>0.01</v>
      </c>
      <c r="G270" s="14">
        <f>DataInTable[[#This Row],[Quantity]]*DataInTable[[#This Row],[Price]]</f>
        <v>240</v>
      </c>
    </row>
    <row r="271" spans="1:7" x14ac:dyDescent="0.3">
      <c r="A271" s="1">
        <v>43306</v>
      </c>
      <c r="B271" t="s">
        <v>8</v>
      </c>
      <c r="C271" t="s">
        <v>14</v>
      </c>
      <c r="D271">
        <v>7</v>
      </c>
      <c r="E271">
        <v>40</v>
      </c>
      <c r="F271" s="2">
        <v>7.0000000000000007E-2</v>
      </c>
      <c r="G271" s="14">
        <f>DataInTable[[#This Row],[Quantity]]*DataInTable[[#This Row],[Price]]</f>
        <v>280</v>
      </c>
    </row>
    <row r="272" spans="1:7" x14ac:dyDescent="0.3">
      <c r="A272" s="1">
        <v>43306</v>
      </c>
      <c r="B272" t="s">
        <v>10</v>
      </c>
      <c r="C272" t="s">
        <v>13</v>
      </c>
      <c r="D272">
        <v>22</v>
      </c>
      <c r="E272">
        <v>80</v>
      </c>
      <c r="F272" s="2">
        <v>0.11</v>
      </c>
      <c r="G272" s="14">
        <f>DataInTable[[#This Row],[Quantity]]*DataInTable[[#This Row],[Price]]</f>
        <v>1760</v>
      </c>
    </row>
    <row r="273" spans="1:7" x14ac:dyDescent="0.3">
      <c r="A273" s="1">
        <v>43306</v>
      </c>
      <c r="B273" t="s">
        <v>7</v>
      </c>
      <c r="C273" t="s">
        <v>15</v>
      </c>
      <c r="D273">
        <v>11</v>
      </c>
      <c r="E273">
        <v>150</v>
      </c>
      <c r="F273" s="2">
        <v>0.05</v>
      </c>
      <c r="G273" s="14">
        <f>DataInTable[[#This Row],[Quantity]]*DataInTable[[#This Row],[Price]]</f>
        <v>1650</v>
      </c>
    </row>
    <row r="274" spans="1:7" x14ac:dyDescent="0.3">
      <c r="A274" s="1">
        <v>43306</v>
      </c>
      <c r="B274" t="s">
        <v>8</v>
      </c>
      <c r="C274" t="s">
        <v>12</v>
      </c>
      <c r="D274">
        <v>21</v>
      </c>
      <c r="E274">
        <v>40</v>
      </c>
      <c r="F274" s="2">
        <v>0.03</v>
      </c>
      <c r="G274" s="14">
        <f>DataInTable[[#This Row],[Quantity]]*DataInTable[[#This Row],[Price]]</f>
        <v>840</v>
      </c>
    </row>
    <row r="275" spans="1:7" x14ac:dyDescent="0.3">
      <c r="A275" s="1">
        <v>43306</v>
      </c>
      <c r="B275" t="s">
        <v>10</v>
      </c>
      <c r="C275" t="s">
        <v>14</v>
      </c>
      <c r="D275">
        <v>23</v>
      </c>
      <c r="E275">
        <v>80</v>
      </c>
      <c r="F275" s="2">
        <v>0.11</v>
      </c>
      <c r="G275" s="14">
        <f>DataInTable[[#This Row],[Quantity]]*DataInTable[[#This Row],[Price]]</f>
        <v>1840</v>
      </c>
    </row>
    <row r="276" spans="1:7" x14ac:dyDescent="0.3">
      <c r="A276" s="1">
        <v>43306</v>
      </c>
      <c r="B276" t="s">
        <v>6</v>
      </c>
      <c r="C276" t="s">
        <v>15</v>
      </c>
      <c r="D276">
        <v>7</v>
      </c>
      <c r="E276">
        <v>230</v>
      </c>
      <c r="F276" s="2">
        <v>0.01</v>
      </c>
      <c r="G276" s="14">
        <f>DataInTable[[#This Row],[Quantity]]*DataInTable[[#This Row],[Price]]</f>
        <v>1610</v>
      </c>
    </row>
    <row r="277" spans="1:7" x14ac:dyDescent="0.3">
      <c r="A277" s="1">
        <v>43306</v>
      </c>
      <c r="B277" t="s">
        <v>6</v>
      </c>
      <c r="C277" t="s">
        <v>11</v>
      </c>
      <c r="D277">
        <v>16</v>
      </c>
      <c r="E277">
        <v>230</v>
      </c>
      <c r="F277" s="2">
        <v>7.0000000000000007E-2</v>
      </c>
      <c r="G277" s="14">
        <f>DataInTable[[#This Row],[Quantity]]*DataInTable[[#This Row],[Price]]</f>
        <v>3680</v>
      </c>
    </row>
    <row r="278" spans="1:7" x14ac:dyDescent="0.3">
      <c r="A278" s="1">
        <v>43306</v>
      </c>
      <c r="B278" t="s">
        <v>10</v>
      </c>
      <c r="C278" t="s">
        <v>12</v>
      </c>
      <c r="D278">
        <v>14</v>
      </c>
      <c r="E278">
        <v>80</v>
      </c>
      <c r="F278" s="2">
        <v>0.11</v>
      </c>
      <c r="G278" s="14">
        <f>DataInTable[[#This Row],[Quantity]]*DataInTable[[#This Row],[Price]]</f>
        <v>1120</v>
      </c>
    </row>
    <row r="279" spans="1:7" x14ac:dyDescent="0.3">
      <c r="A279" s="1">
        <v>43306</v>
      </c>
      <c r="B279" t="s">
        <v>7</v>
      </c>
      <c r="C279" t="s">
        <v>15</v>
      </c>
      <c r="D279">
        <v>22</v>
      </c>
      <c r="E279">
        <v>150</v>
      </c>
      <c r="F279" s="2">
        <v>0.09</v>
      </c>
      <c r="G279" s="14">
        <f>DataInTable[[#This Row],[Quantity]]*DataInTable[[#This Row],[Price]]</f>
        <v>3300</v>
      </c>
    </row>
    <row r="280" spans="1:7" x14ac:dyDescent="0.3">
      <c r="A280" s="1">
        <v>43306</v>
      </c>
      <c r="B280" t="s">
        <v>7</v>
      </c>
      <c r="C280" t="s">
        <v>14</v>
      </c>
      <c r="D280">
        <v>4</v>
      </c>
      <c r="E280">
        <v>150</v>
      </c>
      <c r="F280" s="2">
        <v>0.12</v>
      </c>
      <c r="G280" s="14">
        <f>DataInTable[[#This Row],[Quantity]]*DataInTable[[#This Row],[Price]]</f>
        <v>600</v>
      </c>
    </row>
    <row r="281" spans="1:7" x14ac:dyDescent="0.3">
      <c r="A281" s="1">
        <v>43306</v>
      </c>
      <c r="B281" t="s">
        <v>7</v>
      </c>
      <c r="C281" t="s">
        <v>11</v>
      </c>
      <c r="D281">
        <v>3</v>
      </c>
      <c r="E281">
        <v>150</v>
      </c>
      <c r="F281" s="2">
        <v>0.03</v>
      </c>
      <c r="G281" s="14">
        <f>DataInTable[[#This Row],[Quantity]]*DataInTable[[#This Row],[Price]]</f>
        <v>450</v>
      </c>
    </row>
    <row r="282" spans="1:7" x14ac:dyDescent="0.3">
      <c r="A282" s="1">
        <v>43306</v>
      </c>
      <c r="B282" t="s">
        <v>8</v>
      </c>
      <c r="C282" t="s">
        <v>13</v>
      </c>
      <c r="D282">
        <v>17</v>
      </c>
      <c r="E282">
        <v>40</v>
      </c>
      <c r="F282" s="2">
        <v>0.02</v>
      </c>
      <c r="G282" s="14">
        <f>DataInTable[[#This Row],[Quantity]]*DataInTable[[#This Row],[Price]]</f>
        <v>680</v>
      </c>
    </row>
    <row r="283" spans="1:7" x14ac:dyDescent="0.3">
      <c r="A283" s="1">
        <v>43306</v>
      </c>
      <c r="B283" t="s">
        <v>10</v>
      </c>
      <c r="C283" t="s">
        <v>13</v>
      </c>
      <c r="D283">
        <v>22</v>
      </c>
      <c r="E283">
        <v>80</v>
      </c>
      <c r="F283" s="2">
        <v>0.1</v>
      </c>
      <c r="G283" s="14">
        <f>DataInTable[[#This Row],[Quantity]]*DataInTable[[#This Row],[Price]]</f>
        <v>1760</v>
      </c>
    </row>
    <row r="284" spans="1:7" x14ac:dyDescent="0.3">
      <c r="A284" s="1">
        <v>43306</v>
      </c>
      <c r="B284" t="s">
        <v>7</v>
      </c>
      <c r="C284" t="s">
        <v>13</v>
      </c>
      <c r="D284">
        <v>18</v>
      </c>
      <c r="E284">
        <v>150</v>
      </c>
      <c r="F284" s="2">
        <v>0.12</v>
      </c>
      <c r="G284" s="14">
        <f>DataInTable[[#This Row],[Quantity]]*DataInTable[[#This Row],[Price]]</f>
        <v>2700</v>
      </c>
    </row>
    <row r="285" spans="1:7" x14ac:dyDescent="0.3">
      <c r="A285" s="1">
        <v>43307</v>
      </c>
      <c r="B285" t="s">
        <v>7</v>
      </c>
      <c r="C285" t="s">
        <v>11</v>
      </c>
      <c r="D285">
        <v>4</v>
      </c>
      <c r="E285">
        <v>150</v>
      </c>
      <c r="F285" s="2">
        <v>0.06</v>
      </c>
      <c r="G285" s="14">
        <f>DataInTable[[#This Row],[Quantity]]*DataInTable[[#This Row],[Price]]</f>
        <v>600</v>
      </c>
    </row>
    <row r="286" spans="1:7" x14ac:dyDescent="0.3">
      <c r="A286" s="1">
        <v>43307</v>
      </c>
      <c r="B286" t="s">
        <v>6</v>
      </c>
      <c r="C286" t="s">
        <v>12</v>
      </c>
      <c r="D286">
        <v>22</v>
      </c>
      <c r="E286">
        <v>230</v>
      </c>
      <c r="F286" s="2">
        <v>0.04</v>
      </c>
      <c r="G286" s="14">
        <f>DataInTable[[#This Row],[Quantity]]*DataInTable[[#This Row],[Price]]</f>
        <v>5060</v>
      </c>
    </row>
    <row r="287" spans="1:7" x14ac:dyDescent="0.3">
      <c r="A287" s="1">
        <v>43307</v>
      </c>
      <c r="B287" t="s">
        <v>7</v>
      </c>
      <c r="C287" t="s">
        <v>12</v>
      </c>
      <c r="D287">
        <v>15</v>
      </c>
      <c r="E287">
        <v>150</v>
      </c>
      <c r="F287" s="2">
        <v>0.12</v>
      </c>
      <c r="G287" s="14">
        <f>DataInTable[[#This Row],[Quantity]]*DataInTable[[#This Row],[Price]]</f>
        <v>2250</v>
      </c>
    </row>
    <row r="288" spans="1:7" x14ac:dyDescent="0.3">
      <c r="A288" s="1">
        <v>43307</v>
      </c>
      <c r="B288" t="s">
        <v>10</v>
      </c>
      <c r="C288" t="s">
        <v>11</v>
      </c>
      <c r="D288">
        <v>17</v>
      </c>
      <c r="E288">
        <v>80</v>
      </c>
      <c r="F288" s="2">
        <v>7.0000000000000007E-2</v>
      </c>
      <c r="G288" s="14">
        <f>DataInTable[[#This Row],[Quantity]]*DataInTable[[#This Row],[Price]]</f>
        <v>1360</v>
      </c>
    </row>
    <row r="289" spans="1:7" x14ac:dyDescent="0.3">
      <c r="A289" s="1">
        <v>43307</v>
      </c>
      <c r="B289" t="s">
        <v>8</v>
      </c>
      <c r="C289" t="s">
        <v>13</v>
      </c>
      <c r="D289">
        <v>10</v>
      </c>
      <c r="E289">
        <v>40</v>
      </c>
      <c r="F289" s="2">
        <v>0.03</v>
      </c>
      <c r="G289" s="14">
        <f>DataInTable[[#This Row],[Quantity]]*DataInTable[[#This Row],[Price]]</f>
        <v>400</v>
      </c>
    </row>
    <row r="290" spans="1:7" x14ac:dyDescent="0.3">
      <c r="A290" s="1">
        <v>43307</v>
      </c>
      <c r="B290" t="s">
        <v>8</v>
      </c>
      <c r="C290" t="s">
        <v>11</v>
      </c>
      <c r="D290">
        <v>23</v>
      </c>
      <c r="E290">
        <v>40</v>
      </c>
      <c r="F290" s="2">
        <v>7.0000000000000007E-2</v>
      </c>
      <c r="G290" s="14">
        <f>DataInTable[[#This Row],[Quantity]]*DataInTable[[#This Row],[Price]]</f>
        <v>920</v>
      </c>
    </row>
    <row r="291" spans="1:7" x14ac:dyDescent="0.3">
      <c r="A291" s="1">
        <v>43307</v>
      </c>
      <c r="B291" t="s">
        <v>9</v>
      </c>
      <c r="C291" t="s">
        <v>12</v>
      </c>
      <c r="D291">
        <v>22</v>
      </c>
      <c r="E291">
        <v>16</v>
      </c>
      <c r="F291" s="2">
        <v>0.04</v>
      </c>
      <c r="G291" s="14">
        <f>DataInTable[[#This Row],[Quantity]]*DataInTable[[#This Row],[Price]]</f>
        <v>352</v>
      </c>
    </row>
    <row r="292" spans="1:7" x14ac:dyDescent="0.3">
      <c r="A292" s="1">
        <v>43307</v>
      </c>
      <c r="B292" t="s">
        <v>10</v>
      </c>
      <c r="C292" t="s">
        <v>15</v>
      </c>
      <c r="D292">
        <v>8</v>
      </c>
      <c r="E292">
        <v>80</v>
      </c>
      <c r="F292" s="2">
        <v>0.02</v>
      </c>
      <c r="G292" s="14">
        <f>DataInTable[[#This Row],[Quantity]]*DataInTable[[#This Row],[Price]]</f>
        <v>640</v>
      </c>
    </row>
    <row r="293" spans="1:7" x14ac:dyDescent="0.3">
      <c r="A293" s="1">
        <v>43307</v>
      </c>
      <c r="B293" t="s">
        <v>9</v>
      </c>
      <c r="C293" t="s">
        <v>12</v>
      </c>
      <c r="D293">
        <v>4</v>
      </c>
      <c r="E293">
        <v>16</v>
      </c>
      <c r="F293" s="2">
        <v>0.09</v>
      </c>
      <c r="G293" s="14">
        <f>DataInTable[[#This Row],[Quantity]]*DataInTable[[#This Row],[Price]]</f>
        <v>64</v>
      </c>
    </row>
    <row r="294" spans="1:7" x14ac:dyDescent="0.3">
      <c r="A294" s="1">
        <v>43307</v>
      </c>
      <c r="B294" t="s">
        <v>8</v>
      </c>
      <c r="C294" t="s">
        <v>14</v>
      </c>
      <c r="D294">
        <v>11</v>
      </c>
      <c r="E294">
        <v>40</v>
      </c>
      <c r="F294" s="2">
        <v>0.09</v>
      </c>
      <c r="G294" s="14">
        <f>DataInTable[[#This Row],[Quantity]]*DataInTable[[#This Row],[Price]]</f>
        <v>440</v>
      </c>
    </row>
    <row r="295" spans="1:7" x14ac:dyDescent="0.3">
      <c r="A295" s="1">
        <v>43307</v>
      </c>
      <c r="B295" t="s">
        <v>6</v>
      </c>
      <c r="C295" t="s">
        <v>15</v>
      </c>
      <c r="D295">
        <v>18</v>
      </c>
      <c r="E295">
        <v>230</v>
      </c>
      <c r="F295" s="2">
        <v>0.01</v>
      </c>
      <c r="G295" s="14">
        <f>DataInTable[[#This Row],[Quantity]]*DataInTable[[#This Row],[Price]]</f>
        <v>4140</v>
      </c>
    </row>
    <row r="296" spans="1:7" x14ac:dyDescent="0.3">
      <c r="A296" s="1">
        <v>43308</v>
      </c>
      <c r="B296" t="s">
        <v>6</v>
      </c>
      <c r="C296" t="s">
        <v>12</v>
      </c>
      <c r="D296">
        <v>11</v>
      </c>
      <c r="E296">
        <v>230</v>
      </c>
      <c r="F296" s="2">
        <v>0.1</v>
      </c>
      <c r="G296" s="14">
        <f>DataInTable[[#This Row],[Quantity]]*DataInTable[[#This Row],[Price]]</f>
        <v>2530</v>
      </c>
    </row>
    <row r="297" spans="1:7" x14ac:dyDescent="0.3">
      <c r="A297" s="1">
        <v>43308</v>
      </c>
      <c r="B297" t="s">
        <v>6</v>
      </c>
      <c r="C297" t="s">
        <v>11</v>
      </c>
      <c r="D297">
        <v>15</v>
      </c>
      <c r="E297">
        <v>230</v>
      </c>
      <c r="F297" s="2">
        <v>0.05</v>
      </c>
      <c r="G297" s="14">
        <f>DataInTable[[#This Row],[Quantity]]*DataInTable[[#This Row],[Price]]</f>
        <v>3450</v>
      </c>
    </row>
    <row r="298" spans="1:7" x14ac:dyDescent="0.3">
      <c r="A298" s="1">
        <v>43308</v>
      </c>
      <c r="B298" t="s">
        <v>8</v>
      </c>
      <c r="C298" t="s">
        <v>13</v>
      </c>
      <c r="D298">
        <v>7</v>
      </c>
      <c r="E298">
        <v>40</v>
      </c>
      <c r="F298" s="2">
        <v>0.04</v>
      </c>
      <c r="G298" s="14">
        <f>DataInTable[[#This Row],[Quantity]]*DataInTable[[#This Row],[Price]]</f>
        <v>280</v>
      </c>
    </row>
    <row r="299" spans="1:7" x14ac:dyDescent="0.3">
      <c r="A299" s="1">
        <v>43308</v>
      </c>
      <c r="B299" t="s">
        <v>7</v>
      </c>
      <c r="C299" t="s">
        <v>15</v>
      </c>
      <c r="D299">
        <v>20</v>
      </c>
      <c r="E299">
        <v>150</v>
      </c>
      <c r="F299" s="2">
        <v>0.12</v>
      </c>
      <c r="G299" s="14">
        <f>DataInTable[[#This Row],[Quantity]]*DataInTable[[#This Row],[Price]]</f>
        <v>3000</v>
      </c>
    </row>
    <row r="300" spans="1:7" x14ac:dyDescent="0.3">
      <c r="A300" s="1">
        <v>43308</v>
      </c>
      <c r="B300" t="s">
        <v>10</v>
      </c>
      <c r="C300" t="s">
        <v>15</v>
      </c>
      <c r="D300">
        <v>5</v>
      </c>
      <c r="E300">
        <v>80</v>
      </c>
      <c r="F300" s="2">
        <v>0.09</v>
      </c>
      <c r="G300" s="14">
        <f>DataInTable[[#This Row],[Quantity]]*DataInTable[[#This Row],[Price]]</f>
        <v>400</v>
      </c>
    </row>
    <row r="301" spans="1:7" x14ac:dyDescent="0.3">
      <c r="A301" s="1">
        <v>43308</v>
      </c>
      <c r="B301" t="s">
        <v>10</v>
      </c>
      <c r="C301" t="s">
        <v>14</v>
      </c>
      <c r="D301">
        <v>14</v>
      </c>
      <c r="E301">
        <v>80</v>
      </c>
      <c r="F301" s="2">
        <v>0.05</v>
      </c>
      <c r="G301" s="14">
        <f>DataInTable[[#This Row],[Quantity]]*DataInTable[[#This Row],[Price]]</f>
        <v>1120</v>
      </c>
    </row>
    <row r="302" spans="1:7" x14ac:dyDescent="0.3">
      <c r="A302" s="1">
        <v>43308</v>
      </c>
      <c r="B302" t="s">
        <v>6</v>
      </c>
      <c r="C302" t="s">
        <v>14</v>
      </c>
      <c r="D302">
        <v>7</v>
      </c>
      <c r="E302">
        <v>230</v>
      </c>
      <c r="F302" s="2">
        <v>0.06</v>
      </c>
      <c r="G302" s="14">
        <f>DataInTable[[#This Row],[Quantity]]*DataInTable[[#This Row],[Price]]</f>
        <v>1610</v>
      </c>
    </row>
    <row r="303" spans="1:7" x14ac:dyDescent="0.3">
      <c r="A303" s="1">
        <v>43308</v>
      </c>
      <c r="B303" t="s">
        <v>8</v>
      </c>
      <c r="C303" t="s">
        <v>14</v>
      </c>
      <c r="D303">
        <v>13</v>
      </c>
      <c r="E303">
        <v>40</v>
      </c>
      <c r="F303" s="2">
        <v>0.06</v>
      </c>
      <c r="G303" s="14">
        <f>DataInTable[[#This Row],[Quantity]]*DataInTable[[#This Row],[Price]]</f>
        <v>520</v>
      </c>
    </row>
    <row r="304" spans="1:7" x14ac:dyDescent="0.3">
      <c r="A304" s="1">
        <v>43309</v>
      </c>
      <c r="B304" t="s">
        <v>9</v>
      </c>
      <c r="C304" t="s">
        <v>12</v>
      </c>
      <c r="D304">
        <v>15</v>
      </c>
      <c r="E304">
        <v>16</v>
      </c>
      <c r="F304" s="2">
        <v>0.02</v>
      </c>
      <c r="G304" s="14">
        <f>DataInTable[[#This Row],[Quantity]]*DataInTable[[#This Row],[Price]]</f>
        <v>240</v>
      </c>
    </row>
    <row r="305" spans="1:7" x14ac:dyDescent="0.3">
      <c r="A305" s="1">
        <v>43309</v>
      </c>
      <c r="B305" t="s">
        <v>9</v>
      </c>
      <c r="C305" t="s">
        <v>14</v>
      </c>
      <c r="D305">
        <v>5</v>
      </c>
      <c r="E305">
        <v>16</v>
      </c>
      <c r="F305" s="2">
        <v>0.09</v>
      </c>
      <c r="G305" s="14">
        <f>DataInTable[[#This Row],[Quantity]]*DataInTable[[#This Row],[Price]]</f>
        <v>80</v>
      </c>
    </row>
    <row r="306" spans="1:7" x14ac:dyDescent="0.3">
      <c r="A306" s="1">
        <v>43309</v>
      </c>
      <c r="B306" t="s">
        <v>9</v>
      </c>
      <c r="C306" t="s">
        <v>11</v>
      </c>
      <c r="D306">
        <v>22</v>
      </c>
      <c r="E306">
        <v>16</v>
      </c>
      <c r="F306" s="2">
        <v>0.06</v>
      </c>
      <c r="G306" s="14">
        <f>DataInTable[[#This Row],[Quantity]]*DataInTable[[#This Row],[Price]]</f>
        <v>352</v>
      </c>
    </row>
    <row r="307" spans="1:7" x14ac:dyDescent="0.3">
      <c r="A307" s="1">
        <v>43309</v>
      </c>
      <c r="B307" t="s">
        <v>7</v>
      </c>
      <c r="C307" t="s">
        <v>15</v>
      </c>
      <c r="D307">
        <v>15</v>
      </c>
      <c r="E307">
        <v>150</v>
      </c>
      <c r="F307" s="2">
        <v>0.05</v>
      </c>
      <c r="G307" s="14">
        <f>DataInTable[[#This Row],[Quantity]]*DataInTable[[#This Row],[Price]]</f>
        <v>2250</v>
      </c>
    </row>
    <row r="308" spans="1:7" x14ac:dyDescent="0.3">
      <c r="A308" s="1">
        <v>43309</v>
      </c>
      <c r="B308" t="s">
        <v>6</v>
      </c>
      <c r="C308" t="s">
        <v>15</v>
      </c>
      <c r="D308">
        <v>5</v>
      </c>
      <c r="E308">
        <v>230</v>
      </c>
      <c r="F308" s="2">
        <v>0.01</v>
      </c>
      <c r="G308" s="14">
        <f>DataInTable[[#This Row],[Quantity]]*DataInTable[[#This Row],[Price]]</f>
        <v>1150</v>
      </c>
    </row>
    <row r="309" spans="1:7" x14ac:dyDescent="0.3">
      <c r="A309" s="1">
        <v>43309</v>
      </c>
      <c r="B309" t="s">
        <v>8</v>
      </c>
      <c r="C309" t="s">
        <v>11</v>
      </c>
      <c r="D309">
        <v>11</v>
      </c>
      <c r="E309">
        <v>40</v>
      </c>
      <c r="F309" s="2">
        <v>0.04</v>
      </c>
      <c r="G309" s="14">
        <f>DataInTable[[#This Row],[Quantity]]*DataInTable[[#This Row],[Price]]</f>
        <v>440</v>
      </c>
    </row>
    <row r="310" spans="1:7" x14ac:dyDescent="0.3">
      <c r="A310" s="1">
        <v>43309</v>
      </c>
      <c r="B310" t="s">
        <v>7</v>
      </c>
      <c r="C310" t="s">
        <v>12</v>
      </c>
      <c r="D310">
        <v>13</v>
      </c>
      <c r="E310">
        <v>150</v>
      </c>
      <c r="F310" s="2">
        <v>0.08</v>
      </c>
      <c r="G310" s="14">
        <f>DataInTable[[#This Row],[Quantity]]*DataInTable[[#This Row],[Price]]</f>
        <v>1950</v>
      </c>
    </row>
    <row r="311" spans="1:7" x14ac:dyDescent="0.3">
      <c r="A311" s="1">
        <v>43309</v>
      </c>
      <c r="B311" t="s">
        <v>9</v>
      </c>
      <c r="C311" t="s">
        <v>13</v>
      </c>
      <c r="D311">
        <v>13</v>
      </c>
      <c r="E311">
        <v>16</v>
      </c>
      <c r="F311" s="2">
        <v>7.0000000000000007E-2</v>
      </c>
      <c r="G311" s="14">
        <f>DataInTable[[#This Row],[Quantity]]*DataInTable[[#This Row],[Price]]</f>
        <v>208</v>
      </c>
    </row>
    <row r="312" spans="1:7" x14ac:dyDescent="0.3">
      <c r="A312" s="1">
        <v>43309</v>
      </c>
      <c r="B312" t="s">
        <v>9</v>
      </c>
      <c r="C312" t="s">
        <v>13</v>
      </c>
      <c r="D312">
        <v>3</v>
      </c>
      <c r="E312">
        <v>16</v>
      </c>
      <c r="F312" s="2">
        <v>0.03</v>
      </c>
      <c r="G312" s="14">
        <f>DataInTable[[#This Row],[Quantity]]*DataInTable[[#This Row],[Price]]</f>
        <v>48</v>
      </c>
    </row>
    <row r="313" spans="1:7" x14ac:dyDescent="0.3">
      <c r="A313" s="1">
        <v>43310</v>
      </c>
      <c r="B313" t="s">
        <v>7</v>
      </c>
      <c r="C313" t="s">
        <v>12</v>
      </c>
      <c r="D313">
        <v>2</v>
      </c>
      <c r="E313">
        <v>150</v>
      </c>
      <c r="F313" s="2">
        <v>0.09</v>
      </c>
      <c r="G313" s="14">
        <f>DataInTable[[#This Row],[Quantity]]*DataInTable[[#This Row],[Price]]</f>
        <v>300</v>
      </c>
    </row>
    <row r="314" spans="1:7" x14ac:dyDescent="0.3">
      <c r="A314" s="1">
        <v>43310</v>
      </c>
      <c r="B314" t="s">
        <v>6</v>
      </c>
      <c r="C314" t="s">
        <v>15</v>
      </c>
      <c r="D314">
        <v>14</v>
      </c>
      <c r="E314">
        <v>230</v>
      </c>
      <c r="F314" s="2">
        <v>0.03</v>
      </c>
      <c r="G314" s="14">
        <f>DataInTable[[#This Row],[Quantity]]*DataInTable[[#This Row],[Price]]</f>
        <v>3220</v>
      </c>
    </row>
    <row r="315" spans="1:7" x14ac:dyDescent="0.3">
      <c r="A315" s="1">
        <v>43310</v>
      </c>
      <c r="B315" t="s">
        <v>8</v>
      </c>
      <c r="C315" t="s">
        <v>15</v>
      </c>
      <c r="D315">
        <v>11</v>
      </c>
      <c r="E315">
        <v>40</v>
      </c>
      <c r="F315" s="2">
        <v>0.12</v>
      </c>
      <c r="G315" s="14">
        <f>DataInTable[[#This Row],[Quantity]]*DataInTable[[#This Row],[Price]]</f>
        <v>440</v>
      </c>
    </row>
    <row r="316" spans="1:7" x14ac:dyDescent="0.3">
      <c r="A316" s="1">
        <v>43310</v>
      </c>
      <c r="B316" t="s">
        <v>9</v>
      </c>
      <c r="C316" t="s">
        <v>13</v>
      </c>
      <c r="D316">
        <v>3</v>
      </c>
      <c r="E316">
        <v>16</v>
      </c>
      <c r="F316" s="2">
        <v>0.06</v>
      </c>
      <c r="G316" s="14">
        <f>DataInTable[[#This Row],[Quantity]]*DataInTable[[#This Row],[Price]]</f>
        <v>48</v>
      </c>
    </row>
    <row r="317" spans="1:7" x14ac:dyDescent="0.3">
      <c r="A317" s="1">
        <v>43310</v>
      </c>
      <c r="B317" t="s">
        <v>8</v>
      </c>
      <c r="C317" t="s">
        <v>13</v>
      </c>
      <c r="D317">
        <v>18</v>
      </c>
      <c r="E317">
        <v>40</v>
      </c>
      <c r="F317" s="2">
        <v>0.06</v>
      </c>
      <c r="G317" s="14">
        <f>DataInTable[[#This Row],[Quantity]]*DataInTable[[#This Row],[Price]]</f>
        <v>720</v>
      </c>
    </row>
    <row r="318" spans="1:7" x14ac:dyDescent="0.3">
      <c r="A318" s="1">
        <v>43310</v>
      </c>
      <c r="B318" t="s">
        <v>6</v>
      </c>
      <c r="C318" t="s">
        <v>13</v>
      </c>
      <c r="D318">
        <v>7</v>
      </c>
      <c r="E318">
        <v>230</v>
      </c>
      <c r="F318" s="2">
        <v>0.05</v>
      </c>
      <c r="G318" s="14">
        <f>DataInTable[[#This Row],[Quantity]]*DataInTable[[#This Row],[Price]]</f>
        <v>1610</v>
      </c>
    </row>
    <row r="319" spans="1:7" x14ac:dyDescent="0.3">
      <c r="A319" s="1">
        <v>43310</v>
      </c>
      <c r="B319" t="s">
        <v>8</v>
      </c>
      <c r="C319" t="s">
        <v>13</v>
      </c>
      <c r="D319">
        <v>23</v>
      </c>
      <c r="E319">
        <v>40</v>
      </c>
      <c r="F319" s="2">
        <v>0.05</v>
      </c>
      <c r="G319" s="14">
        <f>DataInTable[[#This Row],[Quantity]]*DataInTable[[#This Row],[Price]]</f>
        <v>920</v>
      </c>
    </row>
    <row r="320" spans="1:7" x14ac:dyDescent="0.3">
      <c r="A320" s="1">
        <v>43311</v>
      </c>
      <c r="B320" t="s">
        <v>6</v>
      </c>
      <c r="C320" t="s">
        <v>13</v>
      </c>
      <c r="D320">
        <v>2</v>
      </c>
      <c r="E320">
        <v>230</v>
      </c>
      <c r="F320" s="2">
        <v>0.08</v>
      </c>
      <c r="G320" s="14">
        <f>DataInTable[[#This Row],[Quantity]]*DataInTable[[#This Row],[Price]]</f>
        <v>460</v>
      </c>
    </row>
    <row r="321" spans="1:7" x14ac:dyDescent="0.3">
      <c r="A321" s="1">
        <v>43311</v>
      </c>
      <c r="B321" t="s">
        <v>8</v>
      </c>
      <c r="C321" t="s">
        <v>14</v>
      </c>
      <c r="D321">
        <v>18</v>
      </c>
      <c r="E321">
        <v>40</v>
      </c>
      <c r="F321" s="2">
        <v>0.04</v>
      </c>
      <c r="G321" s="14">
        <f>DataInTable[[#This Row],[Quantity]]*DataInTable[[#This Row],[Price]]</f>
        <v>720</v>
      </c>
    </row>
    <row r="322" spans="1:7" x14ac:dyDescent="0.3">
      <c r="A322" s="1">
        <v>43311</v>
      </c>
      <c r="B322" t="s">
        <v>6</v>
      </c>
      <c r="C322" t="s">
        <v>12</v>
      </c>
      <c r="D322">
        <v>7</v>
      </c>
      <c r="E322">
        <v>230</v>
      </c>
      <c r="F322" s="2">
        <v>0.05</v>
      </c>
      <c r="G322" s="14">
        <f>DataInTable[[#This Row],[Quantity]]*DataInTable[[#This Row],[Price]]</f>
        <v>1610</v>
      </c>
    </row>
    <row r="323" spans="1:7" x14ac:dyDescent="0.3">
      <c r="A323" s="1">
        <v>43311</v>
      </c>
      <c r="B323" t="s">
        <v>8</v>
      </c>
      <c r="C323" t="s">
        <v>13</v>
      </c>
      <c r="D323">
        <v>14</v>
      </c>
      <c r="E323">
        <v>40</v>
      </c>
      <c r="F323" s="2">
        <v>0.11</v>
      </c>
      <c r="G323" s="14">
        <f>DataInTable[[#This Row],[Quantity]]*DataInTable[[#This Row],[Price]]</f>
        <v>560</v>
      </c>
    </row>
    <row r="324" spans="1:7" x14ac:dyDescent="0.3">
      <c r="A324" s="1">
        <v>43311</v>
      </c>
      <c r="B324" t="s">
        <v>7</v>
      </c>
      <c r="C324" t="s">
        <v>12</v>
      </c>
      <c r="D324">
        <v>13</v>
      </c>
      <c r="E324">
        <v>150</v>
      </c>
      <c r="F324" s="2">
        <v>0.02</v>
      </c>
      <c r="G324" s="14">
        <f>DataInTable[[#This Row],[Quantity]]*DataInTable[[#This Row],[Price]]</f>
        <v>1950</v>
      </c>
    </row>
    <row r="325" spans="1:7" x14ac:dyDescent="0.3">
      <c r="A325" s="1">
        <v>43311</v>
      </c>
      <c r="B325" t="s">
        <v>10</v>
      </c>
      <c r="C325" t="s">
        <v>11</v>
      </c>
      <c r="D325">
        <v>12</v>
      </c>
      <c r="E325">
        <v>80</v>
      </c>
      <c r="F325" s="2">
        <v>0.04</v>
      </c>
      <c r="G325" s="14">
        <f>DataInTable[[#This Row],[Quantity]]*DataInTable[[#This Row],[Price]]</f>
        <v>960</v>
      </c>
    </row>
    <row r="326" spans="1:7" x14ac:dyDescent="0.3">
      <c r="A326" s="1">
        <v>43311</v>
      </c>
      <c r="B326" t="s">
        <v>6</v>
      </c>
      <c r="C326" t="s">
        <v>13</v>
      </c>
      <c r="D326">
        <v>20</v>
      </c>
      <c r="E326">
        <v>230</v>
      </c>
      <c r="F326" s="2">
        <v>0.09</v>
      </c>
      <c r="G326" s="14">
        <f>DataInTable[[#This Row],[Quantity]]*DataInTable[[#This Row],[Price]]</f>
        <v>4600</v>
      </c>
    </row>
    <row r="327" spans="1:7" x14ac:dyDescent="0.3">
      <c r="A327" s="1">
        <v>43311</v>
      </c>
      <c r="B327" t="s">
        <v>8</v>
      </c>
      <c r="C327" t="s">
        <v>13</v>
      </c>
      <c r="D327">
        <v>5</v>
      </c>
      <c r="E327">
        <v>40</v>
      </c>
      <c r="F327" s="2">
        <v>0.03</v>
      </c>
      <c r="G327" s="14">
        <f>DataInTable[[#This Row],[Quantity]]*DataInTable[[#This Row],[Price]]</f>
        <v>200</v>
      </c>
    </row>
    <row r="328" spans="1:7" x14ac:dyDescent="0.3">
      <c r="A328" s="1">
        <v>43311</v>
      </c>
      <c r="B328" t="s">
        <v>9</v>
      </c>
      <c r="C328" t="s">
        <v>13</v>
      </c>
      <c r="D328">
        <v>2</v>
      </c>
      <c r="E328">
        <v>16</v>
      </c>
      <c r="F328" s="2">
        <v>0.04</v>
      </c>
      <c r="G328" s="14">
        <f>DataInTable[[#This Row],[Quantity]]*DataInTable[[#This Row],[Price]]</f>
        <v>32</v>
      </c>
    </row>
  </sheetData>
  <mergeCells count="1">
    <mergeCell ref="A2:F2"/>
  </mergeCells>
  <pageMargins left="0.7" right="0.7" top="0.75" bottom="0.75" header="0.3" footer="0.3"/>
  <pageSetup orientation="portrait" r:id="rId5"/>
  <tableParts count="1"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345"/>
  <sheetViews>
    <sheetView topLeftCell="A49" workbookViewId="0">
      <selection activeCell="A5" sqref="A5"/>
    </sheetView>
  </sheetViews>
  <sheetFormatPr defaultRowHeight="14.4" x14ac:dyDescent="0.3"/>
  <cols>
    <col min="1" max="1" width="10.33203125" bestFit="1" customWidth="1"/>
    <col min="3" max="3" width="10.77734375" customWidth="1"/>
    <col min="4" max="4" width="10.21875" customWidth="1"/>
    <col min="6" max="6" width="13.109375" customWidth="1"/>
  </cols>
  <sheetData>
    <row r="2" spans="1:6" x14ac:dyDescent="0.3">
      <c r="A2" s="26" t="s">
        <v>16</v>
      </c>
      <c r="B2" s="26"/>
      <c r="C2" s="26"/>
      <c r="D2" s="26"/>
      <c r="E2" s="26"/>
      <c r="F2" s="26"/>
    </row>
    <row r="4" spans="1:6" x14ac:dyDescent="0.3">
      <c r="A4" t="s">
        <v>0</v>
      </c>
      <c r="B4" t="s">
        <v>1</v>
      </c>
      <c r="C4" t="s">
        <v>4</v>
      </c>
      <c r="D4" t="s">
        <v>2</v>
      </c>
      <c r="E4" t="s">
        <v>3</v>
      </c>
      <c r="F4" t="s">
        <v>5</v>
      </c>
    </row>
    <row r="5" spans="1:6" x14ac:dyDescent="0.3">
      <c r="A5" s="1">
        <v>43282</v>
      </c>
      <c r="B5" t="s">
        <v>10</v>
      </c>
      <c r="C5" t="s">
        <v>15</v>
      </c>
      <c r="D5">
        <v>10</v>
      </c>
      <c r="E5">
        <v>80</v>
      </c>
      <c r="F5" s="2">
        <v>0.08</v>
      </c>
    </row>
    <row r="6" spans="1:6" x14ac:dyDescent="0.3">
      <c r="A6" s="1">
        <v>43282</v>
      </c>
      <c r="B6" t="s">
        <v>8</v>
      </c>
      <c r="C6" t="s">
        <v>14</v>
      </c>
      <c r="D6">
        <v>18</v>
      </c>
      <c r="E6">
        <v>40</v>
      </c>
      <c r="F6" s="2">
        <v>0.06</v>
      </c>
    </row>
    <row r="7" spans="1:6" x14ac:dyDescent="0.3">
      <c r="A7" s="1">
        <v>43282</v>
      </c>
      <c r="B7" t="s">
        <v>6</v>
      </c>
      <c r="C7" t="s">
        <v>12</v>
      </c>
      <c r="D7">
        <v>7</v>
      </c>
      <c r="E7">
        <v>230</v>
      </c>
      <c r="F7" s="2">
        <v>0.08</v>
      </c>
    </row>
    <row r="8" spans="1:6" x14ac:dyDescent="0.3">
      <c r="A8" s="1">
        <v>43282</v>
      </c>
      <c r="B8" t="s">
        <v>8</v>
      </c>
      <c r="C8" t="s">
        <v>14</v>
      </c>
      <c r="D8">
        <v>15</v>
      </c>
      <c r="E8">
        <v>40</v>
      </c>
      <c r="F8" s="2">
        <v>0.03</v>
      </c>
    </row>
    <row r="9" spans="1:6" x14ac:dyDescent="0.3">
      <c r="A9" s="1">
        <v>43282</v>
      </c>
      <c r="B9" t="s">
        <v>9</v>
      </c>
      <c r="C9" t="s">
        <v>15</v>
      </c>
      <c r="D9">
        <v>6</v>
      </c>
      <c r="E9">
        <v>16</v>
      </c>
      <c r="F9" s="2">
        <v>0.01</v>
      </c>
    </row>
    <row r="10" spans="1:6" x14ac:dyDescent="0.3">
      <c r="A10" s="1">
        <v>43282</v>
      </c>
      <c r="B10" t="s">
        <v>7</v>
      </c>
      <c r="C10" t="s">
        <v>14</v>
      </c>
      <c r="D10">
        <v>9</v>
      </c>
      <c r="E10">
        <v>150</v>
      </c>
      <c r="F10" s="2">
        <v>0.02</v>
      </c>
    </row>
    <row r="11" spans="1:6" x14ac:dyDescent="0.3">
      <c r="A11" s="1">
        <v>43282</v>
      </c>
      <c r="B11" t="s">
        <v>9</v>
      </c>
      <c r="C11" t="s">
        <v>13</v>
      </c>
      <c r="D11">
        <v>15</v>
      </c>
      <c r="E11">
        <v>16</v>
      </c>
      <c r="F11" s="2">
        <v>0.01</v>
      </c>
    </row>
    <row r="12" spans="1:6" x14ac:dyDescent="0.3">
      <c r="A12" s="1">
        <v>43282</v>
      </c>
      <c r="B12" t="s">
        <v>10</v>
      </c>
      <c r="C12" t="s">
        <v>13</v>
      </c>
      <c r="D12">
        <v>22</v>
      </c>
      <c r="E12">
        <v>80</v>
      </c>
      <c r="F12" s="2">
        <v>0.11</v>
      </c>
    </row>
    <row r="13" spans="1:6" x14ac:dyDescent="0.3">
      <c r="A13" s="1">
        <v>43282</v>
      </c>
      <c r="B13" t="s">
        <v>7</v>
      </c>
      <c r="C13" t="s">
        <v>12</v>
      </c>
      <c r="D13">
        <v>13</v>
      </c>
      <c r="E13">
        <v>150</v>
      </c>
      <c r="F13" s="2">
        <v>0.02</v>
      </c>
    </row>
    <row r="14" spans="1:6" x14ac:dyDescent="0.3">
      <c r="A14" s="1">
        <v>43283</v>
      </c>
      <c r="B14" t="s">
        <v>9</v>
      </c>
      <c r="C14" t="s">
        <v>15</v>
      </c>
      <c r="D14">
        <v>12</v>
      </c>
      <c r="E14">
        <v>16</v>
      </c>
      <c r="F14" s="2">
        <v>0.03</v>
      </c>
    </row>
    <row r="15" spans="1:6" x14ac:dyDescent="0.3">
      <c r="A15" s="1">
        <v>43283</v>
      </c>
      <c r="B15" t="s">
        <v>8</v>
      </c>
      <c r="C15" t="s">
        <v>14</v>
      </c>
      <c r="D15">
        <v>4</v>
      </c>
      <c r="E15">
        <v>40</v>
      </c>
      <c r="F15" s="2">
        <v>0.05</v>
      </c>
    </row>
    <row r="16" spans="1:6" x14ac:dyDescent="0.3">
      <c r="A16" s="1">
        <v>43283</v>
      </c>
      <c r="B16" t="s">
        <v>6</v>
      </c>
      <c r="C16" t="s">
        <v>12</v>
      </c>
      <c r="D16">
        <v>19</v>
      </c>
      <c r="E16">
        <v>230</v>
      </c>
      <c r="F16" s="2">
        <v>0.11</v>
      </c>
    </row>
    <row r="17" spans="1:6" x14ac:dyDescent="0.3">
      <c r="A17" s="1">
        <v>43283</v>
      </c>
      <c r="B17" t="s">
        <v>8</v>
      </c>
      <c r="C17" t="s">
        <v>12</v>
      </c>
      <c r="D17">
        <v>4</v>
      </c>
      <c r="E17">
        <v>40</v>
      </c>
      <c r="F17" s="2">
        <v>0.06</v>
      </c>
    </row>
    <row r="18" spans="1:6" x14ac:dyDescent="0.3">
      <c r="A18" s="1">
        <v>43283</v>
      </c>
      <c r="B18" t="s">
        <v>9</v>
      </c>
      <c r="C18" t="s">
        <v>15</v>
      </c>
      <c r="D18">
        <v>6</v>
      </c>
      <c r="E18">
        <v>16</v>
      </c>
      <c r="F18" s="2">
        <v>7.0000000000000007E-2</v>
      </c>
    </row>
    <row r="19" spans="1:6" x14ac:dyDescent="0.3">
      <c r="A19" s="1">
        <v>43283</v>
      </c>
      <c r="B19" t="s">
        <v>6</v>
      </c>
      <c r="C19" t="s">
        <v>15</v>
      </c>
      <c r="D19">
        <v>15</v>
      </c>
      <c r="E19">
        <v>230</v>
      </c>
      <c r="F19" s="2">
        <v>0.11</v>
      </c>
    </row>
    <row r="20" spans="1:6" x14ac:dyDescent="0.3">
      <c r="A20" s="1">
        <v>43283</v>
      </c>
      <c r="B20" t="s">
        <v>10</v>
      </c>
      <c r="C20" t="s">
        <v>15</v>
      </c>
      <c r="D20">
        <v>16</v>
      </c>
      <c r="E20">
        <v>80</v>
      </c>
      <c r="F20" s="2">
        <v>0.04</v>
      </c>
    </row>
    <row r="21" spans="1:6" x14ac:dyDescent="0.3">
      <c r="A21" s="1">
        <v>43283</v>
      </c>
      <c r="B21" t="s">
        <v>8</v>
      </c>
      <c r="C21" t="s">
        <v>11</v>
      </c>
      <c r="D21">
        <v>7</v>
      </c>
      <c r="E21">
        <v>40</v>
      </c>
      <c r="F21" s="2">
        <v>0.1</v>
      </c>
    </row>
    <row r="22" spans="1:6" x14ac:dyDescent="0.3">
      <c r="A22" s="1">
        <v>43283</v>
      </c>
      <c r="B22" t="s">
        <v>8</v>
      </c>
      <c r="C22" t="s">
        <v>15</v>
      </c>
      <c r="D22">
        <v>11</v>
      </c>
      <c r="E22">
        <v>40</v>
      </c>
      <c r="F22" s="2">
        <v>0.05</v>
      </c>
    </row>
    <row r="23" spans="1:6" x14ac:dyDescent="0.3">
      <c r="A23" s="1">
        <v>43283</v>
      </c>
      <c r="B23" t="s">
        <v>10</v>
      </c>
      <c r="C23" t="s">
        <v>13</v>
      </c>
      <c r="D23">
        <v>9</v>
      </c>
      <c r="E23">
        <v>80</v>
      </c>
      <c r="F23" s="2">
        <v>0.06</v>
      </c>
    </row>
    <row r="24" spans="1:6" x14ac:dyDescent="0.3">
      <c r="A24" s="1">
        <v>43283</v>
      </c>
      <c r="B24" t="s">
        <v>10</v>
      </c>
      <c r="C24" t="s">
        <v>12</v>
      </c>
      <c r="D24">
        <v>21</v>
      </c>
      <c r="E24">
        <v>80</v>
      </c>
      <c r="F24" s="2">
        <v>0.04</v>
      </c>
    </row>
    <row r="25" spans="1:6" x14ac:dyDescent="0.3">
      <c r="A25" s="1">
        <v>43283</v>
      </c>
      <c r="B25" t="s">
        <v>8</v>
      </c>
      <c r="C25" t="s">
        <v>15</v>
      </c>
      <c r="D25">
        <v>2</v>
      </c>
      <c r="E25">
        <v>40</v>
      </c>
      <c r="F25" s="2">
        <v>0.03</v>
      </c>
    </row>
    <row r="26" spans="1:6" x14ac:dyDescent="0.3">
      <c r="A26" s="1">
        <v>43284</v>
      </c>
      <c r="B26" t="s">
        <v>9</v>
      </c>
      <c r="C26" t="s">
        <v>15</v>
      </c>
      <c r="D26">
        <v>17</v>
      </c>
      <c r="E26">
        <v>16</v>
      </c>
      <c r="F26" s="2">
        <v>0.05</v>
      </c>
    </row>
    <row r="27" spans="1:6" x14ac:dyDescent="0.3">
      <c r="A27" s="1">
        <v>43284</v>
      </c>
      <c r="B27" t="s">
        <v>8</v>
      </c>
      <c r="C27" t="s">
        <v>11</v>
      </c>
      <c r="D27">
        <v>18</v>
      </c>
      <c r="E27">
        <v>40</v>
      </c>
      <c r="F27" s="2">
        <v>0.06</v>
      </c>
    </row>
    <row r="28" spans="1:6" x14ac:dyDescent="0.3">
      <c r="A28" s="1">
        <v>43284</v>
      </c>
      <c r="B28" t="s">
        <v>8</v>
      </c>
      <c r="C28" t="s">
        <v>11</v>
      </c>
      <c r="D28">
        <v>9</v>
      </c>
      <c r="E28">
        <v>40</v>
      </c>
      <c r="F28" s="2">
        <v>0.01</v>
      </c>
    </row>
    <row r="29" spans="1:6" x14ac:dyDescent="0.3">
      <c r="A29" s="1">
        <v>43284</v>
      </c>
      <c r="B29" t="s">
        <v>8</v>
      </c>
      <c r="C29" t="s">
        <v>12</v>
      </c>
      <c r="D29">
        <v>7</v>
      </c>
      <c r="E29">
        <v>40</v>
      </c>
      <c r="F29" s="2">
        <v>0.01</v>
      </c>
    </row>
    <row r="30" spans="1:6" x14ac:dyDescent="0.3">
      <c r="A30" s="1">
        <v>43284</v>
      </c>
      <c r="B30" t="s">
        <v>6</v>
      </c>
      <c r="C30" t="s">
        <v>15</v>
      </c>
      <c r="D30">
        <v>12</v>
      </c>
      <c r="E30">
        <v>230</v>
      </c>
      <c r="F30" s="2">
        <v>0.06</v>
      </c>
    </row>
    <row r="31" spans="1:6" x14ac:dyDescent="0.3">
      <c r="A31" s="1">
        <v>43284</v>
      </c>
      <c r="B31" t="s">
        <v>9</v>
      </c>
      <c r="C31" t="s">
        <v>12</v>
      </c>
      <c r="D31">
        <v>22</v>
      </c>
      <c r="E31">
        <v>16</v>
      </c>
      <c r="F31" s="2">
        <v>0.04</v>
      </c>
    </row>
    <row r="32" spans="1:6" x14ac:dyDescent="0.3">
      <c r="A32" s="1">
        <v>43285</v>
      </c>
      <c r="B32" t="s">
        <v>7</v>
      </c>
      <c r="C32" t="s">
        <v>11</v>
      </c>
      <c r="D32">
        <v>5</v>
      </c>
      <c r="E32">
        <v>150</v>
      </c>
      <c r="F32" s="2">
        <v>0.11</v>
      </c>
    </row>
    <row r="33" spans="1:6" x14ac:dyDescent="0.3">
      <c r="A33" s="1">
        <v>43285</v>
      </c>
      <c r="B33" t="s">
        <v>10</v>
      </c>
      <c r="C33" t="s">
        <v>12</v>
      </c>
      <c r="D33">
        <v>14</v>
      </c>
      <c r="E33">
        <v>80</v>
      </c>
      <c r="F33" s="2">
        <v>0.11</v>
      </c>
    </row>
    <row r="34" spans="1:6" x14ac:dyDescent="0.3">
      <c r="A34" s="1">
        <v>43285</v>
      </c>
      <c r="B34" t="s">
        <v>9</v>
      </c>
      <c r="C34" t="s">
        <v>15</v>
      </c>
      <c r="D34">
        <v>8</v>
      </c>
      <c r="E34">
        <v>16</v>
      </c>
      <c r="F34" s="2">
        <v>0.03</v>
      </c>
    </row>
    <row r="35" spans="1:6" x14ac:dyDescent="0.3">
      <c r="A35" s="1">
        <v>43285</v>
      </c>
      <c r="B35" t="s">
        <v>6</v>
      </c>
      <c r="C35" t="s">
        <v>15</v>
      </c>
      <c r="D35">
        <v>6</v>
      </c>
      <c r="E35">
        <v>230</v>
      </c>
      <c r="F35" s="2">
        <v>0.05</v>
      </c>
    </row>
    <row r="36" spans="1:6" x14ac:dyDescent="0.3">
      <c r="A36" s="1">
        <v>43285</v>
      </c>
      <c r="B36" t="s">
        <v>9</v>
      </c>
      <c r="C36" t="s">
        <v>14</v>
      </c>
      <c r="D36">
        <v>7</v>
      </c>
      <c r="E36">
        <v>16</v>
      </c>
      <c r="F36" s="2">
        <v>0.08</v>
      </c>
    </row>
    <row r="37" spans="1:6" x14ac:dyDescent="0.3">
      <c r="A37" s="1">
        <v>43285</v>
      </c>
      <c r="B37" t="s">
        <v>10</v>
      </c>
      <c r="C37" t="s">
        <v>12</v>
      </c>
      <c r="D37">
        <v>16</v>
      </c>
      <c r="E37">
        <v>80</v>
      </c>
      <c r="F37" s="2">
        <v>0.04</v>
      </c>
    </row>
    <row r="38" spans="1:6" x14ac:dyDescent="0.3">
      <c r="A38" s="1">
        <v>43285</v>
      </c>
      <c r="B38" t="s">
        <v>7</v>
      </c>
      <c r="C38" t="s">
        <v>11</v>
      </c>
      <c r="D38">
        <v>17</v>
      </c>
      <c r="E38">
        <v>150</v>
      </c>
      <c r="F38" s="2">
        <v>0.12</v>
      </c>
    </row>
    <row r="39" spans="1:6" x14ac:dyDescent="0.3">
      <c r="A39" s="1">
        <v>43285</v>
      </c>
      <c r="B39" t="s">
        <v>9</v>
      </c>
      <c r="C39" t="s">
        <v>12</v>
      </c>
      <c r="D39">
        <v>7</v>
      </c>
      <c r="E39">
        <v>16</v>
      </c>
      <c r="F39" s="2">
        <v>0.08</v>
      </c>
    </row>
    <row r="40" spans="1:6" x14ac:dyDescent="0.3">
      <c r="A40" s="1">
        <v>43286</v>
      </c>
      <c r="B40" t="s">
        <v>9</v>
      </c>
      <c r="C40" t="s">
        <v>11</v>
      </c>
      <c r="D40">
        <v>21</v>
      </c>
      <c r="E40">
        <v>16</v>
      </c>
      <c r="F40" s="2">
        <v>0.09</v>
      </c>
    </row>
    <row r="41" spans="1:6" x14ac:dyDescent="0.3">
      <c r="A41" s="1">
        <v>43286</v>
      </c>
      <c r="B41" t="s">
        <v>9</v>
      </c>
      <c r="C41" t="s">
        <v>15</v>
      </c>
      <c r="D41">
        <v>23</v>
      </c>
      <c r="E41">
        <v>16</v>
      </c>
      <c r="F41" s="2">
        <v>0.11</v>
      </c>
    </row>
    <row r="42" spans="1:6" x14ac:dyDescent="0.3">
      <c r="A42" s="1">
        <v>43286</v>
      </c>
      <c r="B42" t="s">
        <v>7</v>
      </c>
      <c r="C42" t="s">
        <v>15</v>
      </c>
      <c r="D42">
        <v>2</v>
      </c>
      <c r="E42">
        <v>150</v>
      </c>
      <c r="F42" s="2">
        <v>0.02</v>
      </c>
    </row>
    <row r="43" spans="1:6" x14ac:dyDescent="0.3">
      <c r="A43" s="1">
        <v>43286</v>
      </c>
      <c r="B43" t="s">
        <v>7</v>
      </c>
      <c r="C43" t="s">
        <v>11</v>
      </c>
      <c r="D43">
        <v>22</v>
      </c>
      <c r="E43">
        <v>150</v>
      </c>
      <c r="F43" s="2">
        <v>7.0000000000000007E-2</v>
      </c>
    </row>
    <row r="44" spans="1:6" x14ac:dyDescent="0.3">
      <c r="A44" s="1">
        <v>43286</v>
      </c>
      <c r="B44" t="s">
        <v>8</v>
      </c>
      <c r="C44" t="s">
        <v>14</v>
      </c>
      <c r="D44">
        <v>22</v>
      </c>
      <c r="E44">
        <v>40</v>
      </c>
      <c r="F44" s="2">
        <v>0.01</v>
      </c>
    </row>
    <row r="45" spans="1:6" x14ac:dyDescent="0.3">
      <c r="A45" s="1">
        <v>43286</v>
      </c>
      <c r="B45" t="s">
        <v>10</v>
      </c>
      <c r="C45" t="s">
        <v>12</v>
      </c>
      <c r="D45">
        <v>10</v>
      </c>
      <c r="E45">
        <v>80</v>
      </c>
      <c r="F45" s="2">
        <v>0.11</v>
      </c>
    </row>
    <row r="46" spans="1:6" x14ac:dyDescent="0.3">
      <c r="A46" s="1">
        <v>43286</v>
      </c>
      <c r="B46" t="s">
        <v>10</v>
      </c>
      <c r="C46" t="s">
        <v>13</v>
      </c>
      <c r="D46">
        <v>13</v>
      </c>
      <c r="E46">
        <v>80</v>
      </c>
      <c r="F46" s="2">
        <v>0.05</v>
      </c>
    </row>
    <row r="47" spans="1:6" x14ac:dyDescent="0.3">
      <c r="A47" s="1">
        <v>43286</v>
      </c>
      <c r="B47" t="s">
        <v>6</v>
      </c>
      <c r="C47" t="s">
        <v>14</v>
      </c>
      <c r="D47">
        <v>11</v>
      </c>
      <c r="E47">
        <v>230</v>
      </c>
      <c r="F47" s="2">
        <v>0.12</v>
      </c>
    </row>
    <row r="48" spans="1:6" x14ac:dyDescent="0.3">
      <c r="A48" s="1">
        <v>43286</v>
      </c>
      <c r="B48" t="s">
        <v>6</v>
      </c>
      <c r="C48" t="s">
        <v>11</v>
      </c>
      <c r="D48">
        <v>9</v>
      </c>
      <c r="E48">
        <v>230</v>
      </c>
      <c r="F48" s="2">
        <v>7.0000000000000007E-2</v>
      </c>
    </row>
    <row r="49" spans="1:6" x14ac:dyDescent="0.3">
      <c r="A49" s="1">
        <v>43286</v>
      </c>
      <c r="B49" t="s">
        <v>6</v>
      </c>
      <c r="C49" t="s">
        <v>14</v>
      </c>
      <c r="D49">
        <v>16</v>
      </c>
      <c r="E49">
        <v>230</v>
      </c>
      <c r="F49" s="2">
        <v>0.11</v>
      </c>
    </row>
    <row r="50" spans="1:6" x14ac:dyDescent="0.3">
      <c r="A50" s="1">
        <v>43286</v>
      </c>
      <c r="B50" t="s">
        <v>6</v>
      </c>
      <c r="C50" t="s">
        <v>14</v>
      </c>
      <c r="D50">
        <v>18</v>
      </c>
      <c r="E50">
        <v>230</v>
      </c>
      <c r="F50" s="2">
        <v>0.01</v>
      </c>
    </row>
    <row r="51" spans="1:6" x14ac:dyDescent="0.3">
      <c r="A51" s="1">
        <v>43286</v>
      </c>
      <c r="B51" t="s">
        <v>9</v>
      </c>
      <c r="C51" t="s">
        <v>12</v>
      </c>
      <c r="D51">
        <v>15</v>
      </c>
      <c r="E51">
        <v>16</v>
      </c>
      <c r="F51" s="2">
        <v>0.02</v>
      </c>
    </row>
    <row r="52" spans="1:6" x14ac:dyDescent="0.3">
      <c r="A52" s="1">
        <v>43286</v>
      </c>
      <c r="B52" t="s">
        <v>8</v>
      </c>
      <c r="C52" t="s">
        <v>13</v>
      </c>
      <c r="D52">
        <v>18</v>
      </c>
      <c r="E52">
        <v>40</v>
      </c>
      <c r="F52" s="2">
        <v>0.06</v>
      </c>
    </row>
    <row r="53" spans="1:6" x14ac:dyDescent="0.3">
      <c r="A53" s="1">
        <v>43286</v>
      </c>
      <c r="B53" t="s">
        <v>8</v>
      </c>
      <c r="C53" t="s">
        <v>14</v>
      </c>
      <c r="D53">
        <v>18</v>
      </c>
      <c r="E53">
        <v>40</v>
      </c>
      <c r="F53" s="2">
        <v>0.04</v>
      </c>
    </row>
    <row r="54" spans="1:6" x14ac:dyDescent="0.3">
      <c r="A54" s="1">
        <v>43286</v>
      </c>
      <c r="B54" t="s">
        <v>9</v>
      </c>
      <c r="C54" t="s">
        <v>14</v>
      </c>
      <c r="D54">
        <v>22</v>
      </c>
      <c r="E54">
        <v>16</v>
      </c>
      <c r="F54" s="2">
        <v>0.03</v>
      </c>
    </row>
    <row r="55" spans="1:6" x14ac:dyDescent="0.3">
      <c r="A55" s="1">
        <v>43286</v>
      </c>
      <c r="B55" t="s">
        <v>9</v>
      </c>
      <c r="C55" t="s">
        <v>15</v>
      </c>
      <c r="D55">
        <v>12</v>
      </c>
      <c r="E55">
        <v>16</v>
      </c>
      <c r="F55" s="2">
        <v>0.11</v>
      </c>
    </row>
    <row r="56" spans="1:6" x14ac:dyDescent="0.3">
      <c r="A56" s="1">
        <v>43287</v>
      </c>
      <c r="B56" t="s">
        <v>10</v>
      </c>
      <c r="C56" t="s">
        <v>11</v>
      </c>
      <c r="D56">
        <v>20</v>
      </c>
      <c r="E56">
        <v>80</v>
      </c>
      <c r="F56" s="2">
        <v>0.01</v>
      </c>
    </row>
    <row r="57" spans="1:6" x14ac:dyDescent="0.3">
      <c r="A57" s="1">
        <v>43287</v>
      </c>
      <c r="B57" t="s">
        <v>6</v>
      </c>
      <c r="C57" t="s">
        <v>15</v>
      </c>
      <c r="D57">
        <v>10</v>
      </c>
      <c r="E57">
        <v>230</v>
      </c>
      <c r="F57" s="2">
        <v>0.02</v>
      </c>
    </row>
    <row r="58" spans="1:6" x14ac:dyDescent="0.3">
      <c r="A58" s="1">
        <v>43287</v>
      </c>
      <c r="B58" t="s">
        <v>6</v>
      </c>
      <c r="C58" t="s">
        <v>12</v>
      </c>
      <c r="D58">
        <v>9</v>
      </c>
      <c r="E58">
        <v>230</v>
      </c>
      <c r="F58" s="2">
        <v>0.03</v>
      </c>
    </row>
    <row r="59" spans="1:6" x14ac:dyDescent="0.3">
      <c r="A59" s="1">
        <v>43287</v>
      </c>
      <c r="B59" t="s">
        <v>10</v>
      </c>
      <c r="C59" t="s">
        <v>12</v>
      </c>
      <c r="D59">
        <v>17</v>
      </c>
      <c r="E59">
        <v>80</v>
      </c>
      <c r="F59" s="2">
        <v>0.03</v>
      </c>
    </row>
    <row r="60" spans="1:6" x14ac:dyDescent="0.3">
      <c r="A60" s="1">
        <v>43287</v>
      </c>
      <c r="B60" t="s">
        <v>8</v>
      </c>
      <c r="C60" t="s">
        <v>13</v>
      </c>
      <c r="D60">
        <v>4</v>
      </c>
      <c r="E60">
        <v>40</v>
      </c>
      <c r="F60" s="2">
        <v>0.09</v>
      </c>
    </row>
    <row r="61" spans="1:6" x14ac:dyDescent="0.3">
      <c r="A61" s="1">
        <v>43287</v>
      </c>
      <c r="B61" t="s">
        <v>7</v>
      </c>
      <c r="C61" t="s">
        <v>12</v>
      </c>
      <c r="D61">
        <v>16</v>
      </c>
      <c r="E61">
        <v>150</v>
      </c>
      <c r="F61" s="2">
        <v>0.03</v>
      </c>
    </row>
    <row r="62" spans="1:6" x14ac:dyDescent="0.3">
      <c r="A62" s="1">
        <v>43287</v>
      </c>
      <c r="B62" t="s">
        <v>10</v>
      </c>
      <c r="C62" t="s">
        <v>15</v>
      </c>
      <c r="D62">
        <v>8</v>
      </c>
      <c r="E62">
        <v>80</v>
      </c>
      <c r="F62" s="2">
        <v>0.02</v>
      </c>
    </row>
    <row r="63" spans="1:6" x14ac:dyDescent="0.3">
      <c r="A63" s="1">
        <v>43287</v>
      </c>
      <c r="B63" t="s">
        <v>8</v>
      </c>
      <c r="C63" t="s">
        <v>14</v>
      </c>
      <c r="D63">
        <v>23</v>
      </c>
      <c r="E63">
        <v>40</v>
      </c>
      <c r="F63" s="2">
        <v>0.06</v>
      </c>
    </row>
    <row r="64" spans="1:6" x14ac:dyDescent="0.3">
      <c r="A64" s="1">
        <v>43288</v>
      </c>
      <c r="B64" t="s">
        <v>7</v>
      </c>
      <c r="C64" t="s">
        <v>14</v>
      </c>
      <c r="D64">
        <v>20</v>
      </c>
      <c r="E64">
        <v>150</v>
      </c>
      <c r="F64" s="2">
        <v>0.1</v>
      </c>
    </row>
    <row r="65" spans="1:6" x14ac:dyDescent="0.3">
      <c r="A65" s="1">
        <v>43288</v>
      </c>
      <c r="B65" t="s">
        <v>6</v>
      </c>
      <c r="C65" t="s">
        <v>13</v>
      </c>
      <c r="D65">
        <v>22</v>
      </c>
      <c r="E65">
        <v>230</v>
      </c>
      <c r="F65" s="2">
        <v>0.1</v>
      </c>
    </row>
    <row r="66" spans="1:6" x14ac:dyDescent="0.3">
      <c r="A66" s="1">
        <v>43288</v>
      </c>
      <c r="B66" t="s">
        <v>6</v>
      </c>
      <c r="C66" t="s">
        <v>12</v>
      </c>
      <c r="D66">
        <v>6</v>
      </c>
      <c r="E66">
        <v>230</v>
      </c>
      <c r="F66" s="2">
        <v>0.1</v>
      </c>
    </row>
    <row r="67" spans="1:6" x14ac:dyDescent="0.3">
      <c r="A67" s="1">
        <v>43288</v>
      </c>
      <c r="B67" t="s">
        <v>10</v>
      </c>
      <c r="C67" t="s">
        <v>14</v>
      </c>
      <c r="D67">
        <v>10</v>
      </c>
      <c r="E67">
        <v>80</v>
      </c>
      <c r="F67" s="2">
        <v>0.1</v>
      </c>
    </row>
    <row r="68" spans="1:6" x14ac:dyDescent="0.3">
      <c r="A68" s="1">
        <v>43288</v>
      </c>
      <c r="B68" t="s">
        <v>6</v>
      </c>
      <c r="C68" t="s">
        <v>13</v>
      </c>
      <c r="D68">
        <v>21</v>
      </c>
      <c r="E68">
        <v>230</v>
      </c>
      <c r="F68" s="2">
        <v>0.05</v>
      </c>
    </row>
    <row r="69" spans="1:6" x14ac:dyDescent="0.3">
      <c r="A69" s="1">
        <v>43288</v>
      </c>
      <c r="B69" t="s">
        <v>6</v>
      </c>
      <c r="C69" t="s">
        <v>11</v>
      </c>
      <c r="D69">
        <v>20</v>
      </c>
      <c r="E69">
        <v>230</v>
      </c>
      <c r="F69" s="2">
        <v>0.04</v>
      </c>
    </row>
    <row r="70" spans="1:6" x14ac:dyDescent="0.3">
      <c r="A70" s="1">
        <v>43288</v>
      </c>
      <c r="B70" t="s">
        <v>10</v>
      </c>
      <c r="C70" t="s">
        <v>15</v>
      </c>
      <c r="D70">
        <v>20</v>
      </c>
      <c r="E70">
        <v>80</v>
      </c>
      <c r="F70" s="2">
        <v>7.0000000000000007E-2</v>
      </c>
    </row>
    <row r="71" spans="1:6" x14ac:dyDescent="0.3">
      <c r="A71" s="1">
        <v>43288</v>
      </c>
      <c r="B71" t="s">
        <v>10</v>
      </c>
      <c r="C71" t="s">
        <v>15</v>
      </c>
      <c r="D71">
        <v>7</v>
      </c>
      <c r="E71">
        <v>80</v>
      </c>
      <c r="F71" s="2">
        <v>0.05</v>
      </c>
    </row>
    <row r="72" spans="1:6" x14ac:dyDescent="0.3">
      <c r="A72" s="1">
        <v>43288</v>
      </c>
      <c r="B72" t="s">
        <v>10</v>
      </c>
      <c r="C72" t="s">
        <v>11</v>
      </c>
      <c r="D72">
        <v>8</v>
      </c>
      <c r="E72">
        <v>80</v>
      </c>
      <c r="F72" s="2">
        <v>0.09</v>
      </c>
    </row>
    <row r="73" spans="1:6" x14ac:dyDescent="0.3">
      <c r="A73" s="1">
        <v>43288</v>
      </c>
      <c r="B73" t="s">
        <v>10</v>
      </c>
      <c r="C73" t="s">
        <v>12</v>
      </c>
      <c r="D73">
        <v>3</v>
      </c>
      <c r="E73">
        <v>80</v>
      </c>
      <c r="F73" s="2">
        <v>0.02</v>
      </c>
    </row>
    <row r="74" spans="1:6" x14ac:dyDescent="0.3">
      <c r="A74" s="1">
        <v>43288</v>
      </c>
      <c r="B74" t="s">
        <v>10</v>
      </c>
      <c r="C74" t="s">
        <v>14</v>
      </c>
      <c r="D74">
        <v>8</v>
      </c>
      <c r="E74">
        <v>80</v>
      </c>
      <c r="F74" s="2">
        <v>0.06</v>
      </c>
    </row>
    <row r="75" spans="1:6" x14ac:dyDescent="0.3">
      <c r="A75" s="1">
        <v>43288</v>
      </c>
      <c r="B75" t="s">
        <v>7</v>
      </c>
      <c r="C75" t="s">
        <v>13</v>
      </c>
      <c r="D75">
        <v>13</v>
      </c>
      <c r="E75">
        <v>150</v>
      </c>
      <c r="F75" s="2">
        <v>0.11</v>
      </c>
    </row>
    <row r="76" spans="1:6" x14ac:dyDescent="0.3">
      <c r="A76" s="1">
        <v>43288</v>
      </c>
      <c r="B76" t="s">
        <v>10</v>
      </c>
      <c r="C76" t="s">
        <v>14</v>
      </c>
      <c r="D76">
        <v>15</v>
      </c>
      <c r="E76">
        <v>80</v>
      </c>
      <c r="F76" s="2">
        <v>0.08</v>
      </c>
    </row>
    <row r="77" spans="1:6" x14ac:dyDescent="0.3">
      <c r="A77" s="1">
        <v>43288</v>
      </c>
      <c r="B77" t="s">
        <v>7</v>
      </c>
      <c r="C77" t="s">
        <v>13</v>
      </c>
      <c r="D77">
        <v>7</v>
      </c>
      <c r="E77">
        <v>150</v>
      </c>
      <c r="F77" s="2">
        <v>0.02</v>
      </c>
    </row>
    <row r="78" spans="1:6" x14ac:dyDescent="0.3">
      <c r="A78" s="1">
        <v>43288</v>
      </c>
      <c r="B78" t="s">
        <v>8</v>
      </c>
      <c r="C78" t="s">
        <v>15</v>
      </c>
      <c r="D78">
        <v>6</v>
      </c>
      <c r="E78">
        <v>40</v>
      </c>
      <c r="F78" s="2">
        <v>0.06</v>
      </c>
    </row>
    <row r="79" spans="1:6" x14ac:dyDescent="0.3">
      <c r="A79" s="1">
        <v>43288</v>
      </c>
      <c r="B79" t="s">
        <v>10</v>
      </c>
      <c r="C79" t="s">
        <v>14</v>
      </c>
      <c r="D79">
        <v>23</v>
      </c>
      <c r="E79">
        <v>80</v>
      </c>
      <c r="F79" s="2">
        <v>0.11</v>
      </c>
    </row>
    <row r="80" spans="1:6" x14ac:dyDescent="0.3">
      <c r="A80" s="1">
        <v>43288</v>
      </c>
      <c r="B80" t="s">
        <v>6</v>
      </c>
      <c r="C80" t="s">
        <v>15</v>
      </c>
      <c r="D80">
        <v>18</v>
      </c>
      <c r="E80">
        <v>230</v>
      </c>
      <c r="F80" s="2">
        <v>0.01</v>
      </c>
    </row>
    <row r="81" spans="1:6" x14ac:dyDescent="0.3">
      <c r="A81" s="1">
        <v>43289</v>
      </c>
      <c r="B81" t="s">
        <v>10</v>
      </c>
      <c r="C81" t="s">
        <v>13</v>
      </c>
      <c r="D81">
        <v>21</v>
      </c>
      <c r="E81">
        <v>80</v>
      </c>
      <c r="F81" s="2">
        <v>0.09</v>
      </c>
    </row>
    <row r="82" spans="1:6" x14ac:dyDescent="0.3">
      <c r="A82" s="1">
        <v>43289</v>
      </c>
      <c r="B82" t="s">
        <v>8</v>
      </c>
      <c r="C82" t="s">
        <v>15</v>
      </c>
      <c r="D82">
        <v>13</v>
      </c>
      <c r="E82">
        <v>40</v>
      </c>
      <c r="F82" s="2">
        <v>0.02</v>
      </c>
    </row>
    <row r="83" spans="1:6" x14ac:dyDescent="0.3">
      <c r="A83" s="1">
        <v>43289</v>
      </c>
      <c r="B83" t="s">
        <v>10</v>
      </c>
      <c r="C83" t="s">
        <v>15</v>
      </c>
      <c r="D83">
        <v>23</v>
      </c>
      <c r="E83">
        <v>80</v>
      </c>
      <c r="F83" s="2">
        <v>0.05</v>
      </c>
    </row>
    <row r="84" spans="1:6" x14ac:dyDescent="0.3">
      <c r="A84" s="1">
        <v>43289</v>
      </c>
      <c r="B84" t="s">
        <v>7</v>
      </c>
      <c r="C84" t="s">
        <v>14</v>
      </c>
      <c r="D84">
        <v>15</v>
      </c>
      <c r="E84">
        <v>150</v>
      </c>
      <c r="F84" s="2">
        <v>0.05</v>
      </c>
    </row>
    <row r="85" spans="1:6" x14ac:dyDescent="0.3">
      <c r="A85" s="1">
        <v>43289</v>
      </c>
      <c r="B85" t="s">
        <v>8</v>
      </c>
      <c r="C85" t="s">
        <v>11</v>
      </c>
      <c r="D85">
        <v>5</v>
      </c>
      <c r="E85">
        <v>40</v>
      </c>
      <c r="F85" s="2">
        <v>0.09</v>
      </c>
    </row>
    <row r="86" spans="1:6" x14ac:dyDescent="0.3">
      <c r="A86" s="1">
        <v>43289</v>
      </c>
      <c r="B86" t="s">
        <v>9</v>
      </c>
      <c r="C86" t="s">
        <v>14</v>
      </c>
      <c r="D86">
        <v>10</v>
      </c>
      <c r="E86">
        <v>16</v>
      </c>
      <c r="F86" s="2">
        <v>0.01</v>
      </c>
    </row>
    <row r="87" spans="1:6" x14ac:dyDescent="0.3">
      <c r="A87" s="1">
        <v>43289</v>
      </c>
      <c r="B87" t="s">
        <v>6</v>
      </c>
      <c r="C87" t="s">
        <v>15</v>
      </c>
      <c r="D87">
        <v>2</v>
      </c>
      <c r="E87">
        <v>230</v>
      </c>
      <c r="F87" s="2">
        <v>0.09</v>
      </c>
    </row>
    <row r="88" spans="1:6" x14ac:dyDescent="0.3">
      <c r="A88" s="1">
        <v>43289</v>
      </c>
      <c r="B88" t="s">
        <v>10</v>
      </c>
      <c r="C88" t="s">
        <v>14</v>
      </c>
      <c r="D88">
        <v>7</v>
      </c>
      <c r="E88">
        <v>80</v>
      </c>
      <c r="F88" s="2">
        <v>0.02</v>
      </c>
    </row>
    <row r="89" spans="1:6" x14ac:dyDescent="0.3">
      <c r="A89" s="1">
        <v>43289</v>
      </c>
      <c r="B89" t="s">
        <v>7</v>
      </c>
      <c r="C89" t="s">
        <v>14</v>
      </c>
      <c r="D89">
        <v>22</v>
      </c>
      <c r="E89">
        <v>150</v>
      </c>
      <c r="F89" s="2">
        <v>0.05</v>
      </c>
    </row>
    <row r="90" spans="1:6" x14ac:dyDescent="0.3">
      <c r="A90" s="1">
        <v>43289</v>
      </c>
      <c r="B90" t="s">
        <v>8</v>
      </c>
      <c r="C90" t="s">
        <v>13</v>
      </c>
      <c r="D90">
        <v>17</v>
      </c>
      <c r="E90">
        <v>40</v>
      </c>
      <c r="F90" s="2">
        <v>0.02</v>
      </c>
    </row>
    <row r="91" spans="1:6" x14ac:dyDescent="0.3">
      <c r="A91" s="1">
        <v>43289</v>
      </c>
      <c r="B91" t="s">
        <v>9</v>
      </c>
      <c r="C91" t="s">
        <v>11</v>
      </c>
      <c r="D91">
        <v>22</v>
      </c>
      <c r="E91">
        <v>16</v>
      </c>
      <c r="F91" s="2">
        <v>0.06</v>
      </c>
    </row>
    <row r="92" spans="1:6" x14ac:dyDescent="0.3">
      <c r="A92" s="1">
        <v>43289</v>
      </c>
      <c r="B92" t="s">
        <v>9</v>
      </c>
      <c r="C92" t="s">
        <v>13</v>
      </c>
      <c r="D92">
        <v>3</v>
      </c>
      <c r="E92">
        <v>16</v>
      </c>
      <c r="F92" s="2">
        <v>0.03</v>
      </c>
    </row>
    <row r="93" spans="1:6" x14ac:dyDescent="0.3">
      <c r="A93" s="1">
        <v>43289</v>
      </c>
      <c r="B93" t="s">
        <v>6</v>
      </c>
      <c r="C93" t="s">
        <v>13</v>
      </c>
      <c r="D93">
        <v>2</v>
      </c>
      <c r="E93">
        <v>230</v>
      </c>
      <c r="F93" s="2">
        <v>0.08</v>
      </c>
    </row>
    <row r="94" spans="1:6" x14ac:dyDescent="0.3">
      <c r="A94" s="1">
        <v>43289</v>
      </c>
      <c r="B94" t="s">
        <v>9</v>
      </c>
      <c r="C94" t="s">
        <v>11</v>
      </c>
      <c r="D94">
        <v>21</v>
      </c>
      <c r="E94">
        <v>16</v>
      </c>
      <c r="F94" s="2">
        <v>0.09</v>
      </c>
    </row>
    <row r="95" spans="1:6" x14ac:dyDescent="0.3">
      <c r="A95" s="1">
        <v>43289</v>
      </c>
      <c r="B95" t="s">
        <v>10</v>
      </c>
      <c r="C95" t="s">
        <v>14</v>
      </c>
      <c r="D95">
        <v>7</v>
      </c>
      <c r="E95">
        <v>80</v>
      </c>
      <c r="F95" s="2">
        <v>7.0000000000000007E-2</v>
      </c>
    </row>
    <row r="96" spans="1:6" x14ac:dyDescent="0.3">
      <c r="A96" s="1">
        <v>43289</v>
      </c>
      <c r="B96" t="s">
        <v>7</v>
      </c>
      <c r="C96" t="s">
        <v>12</v>
      </c>
      <c r="D96">
        <v>23</v>
      </c>
      <c r="E96">
        <v>150</v>
      </c>
      <c r="F96" s="2">
        <v>0.11</v>
      </c>
    </row>
    <row r="97" spans="1:6" x14ac:dyDescent="0.3">
      <c r="A97" s="1">
        <v>43290</v>
      </c>
      <c r="B97" t="s">
        <v>7</v>
      </c>
      <c r="C97" t="s">
        <v>11</v>
      </c>
      <c r="D97">
        <v>11</v>
      </c>
      <c r="E97">
        <v>150</v>
      </c>
      <c r="F97" s="2">
        <v>0.05</v>
      </c>
    </row>
    <row r="98" spans="1:6" x14ac:dyDescent="0.3">
      <c r="A98" s="1">
        <v>43290</v>
      </c>
      <c r="B98" t="s">
        <v>10</v>
      </c>
      <c r="C98" t="s">
        <v>13</v>
      </c>
      <c r="D98">
        <v>16</v>
      </c>
      <c r="E98">
        <v>80</v>
      </c>
      <c r="F98" s="2">
        <v>0.05</v>
      </c>
    </row>
    <row r="99" spans="1:6" x14ac:dyDescent="0.3">
      <c r="A99" s="1">
        <v>43290</v>
      </c>
      <c r="B99" t="s">
        <v>6</v>
      </c>
      <c r="C99" t="s">
        <v>15</v>
      </c>
      <c r="D99">
        <v>5</v>
      </c>
      <c r="E99">
        <v>230</v>
      </c>
      <c r="F99" s="2">
        <v>0.1</v>
      </c>
    </row>
    <row r="100" spans="1:6" x14ac:dyDescent="0.3">
      <c r="A100" s="1">
        <v>43290</v>
      </c>
      <c r="B100" t="s">
        <v>9</v>
      </c>
      <c r="C100" t="s">
        <v>11</v>
      </c>
      <c r="D100">
        <v>22</v>
      </c>
      <c r="E100">
        <v>16</v>
      </c>
      <c r="F100" s="2">
        <v>0.01</v>
      </c>
    </row>
    <row r="101" spans="1:6" x14ac:dyDescent="0.3">
      <c r="A101" s="1">
        <v>43290</v>
      </c>
      <c r="B101" t="s">
        <v>8</v>
      </c>
      <c r="C101" t="s">
        <v>13</v>
      </c>
      <c r="D101">
        <v>7</v>
      </c>
      <c r="E101">
        <v>40</v>
      </c>
      <c r="F101" s="2">
        <v>0.12</v>
      </c>
    </row>
    <row r="102" spans="1:6" x14ac:dyDescent="0.3">
      <c r="A102" s="1">
        <v>43290</v>
      </c>
      <c r="B102" t="s">
        <v>10</v>
      </c>
      <c r="C102" t="s">
        <v>12</v>
      </c>
      <c r="D102">
        <v>2</v>
      </c>
      <c r="E102">
        <v>80</v>
      </c>
      <c r="F102" s="2">
        <v>0.04</v>
      </c>
    </row>
    <row r="103" spans="1:6" x14ac:dyDescent="0.3">
      <c r="A103" s="1">
        <v>43290</v>
      </c>
      <c r="B103" t="s">
        <v>8</v>
      </c>
      <c r="C103" t="s">
        <v>14</v>
      </c>
      <c r="D103">
        <v>6</v>
      </c>
      <c r="E103">
        <v>40</v>
      </c>
      <c r="F103" s="2">
        <v>7.0000000000000007E-2</v>
      </c>
    </row>
    <row r="104" spans="1:6" x14ac:dyDescent="0.3">
      <c r="A104" s="1">
        <v>43290</v>
      </c>
      <c r="B104" t="s">
        <v>10</v>
      </c>
      <c r="C104" t="s">
        <v>15</v>
      </c>
      <c r="D104">
        <v>6</v>
      </c>
      <c r="E104">
        <v>80</v>
      </c>
      <c r="F104" s="2">
        <v>0.01</v>
      </c>
    </row>
    <row r="105" spans="1:6" x14ac:dyDescent="0.3">
      <c r="A105" s="1">
        <v>43290</v>
      </c>
      <c r="B105" t="s">
        <v>9</v>
      </c>
      <c r="C105" t="s">
        <v>12</v>
      </c>
      <c r="D105">
        <v>22</v>
      </c>
      <c r="E105">
        <v>16</v>
      </c>
      <c r="F105" s="2">
        <v>0.01</v>
      </c>
    </row>
    <row r="106" spans="1:6" x14ac:dyDescent="0.3">
      <c r="A106" s="1">
        <v>43290</v>
      </c>
      <c r="B106" t="s">
        <v>6</v>
      </c>
      <c r="C106" t="s">
        <v>14</v>
      </c>
      <c r="D106">
        <v>7</v>
      </c>
      <c r="E106">
        <v>230</v>
      </c>
      <c r="F106" s="2">
        <v>0.06</v>
      </c>
    </row>
    <row r="107" spans="1:6" x14ac:dyDescent="0.3">
      <c r="A107" s="1">
        <v>43291</v>
      </c>
      <c r="B107" t="s">
        <v>9</v>
      </c>
      <c r="C107" t="s">
        <v>14</v>
      </c>
      <c r="D107">
        <v>22</v>
      </c>
      <c r="E107">
        <v>16</v>
      </c>
      <c r="F107" s="2">
        <v>0.03</v>
      </c>
    </row>
    <row r="108" spans="1:6" x14ac:dyDescent="0.3">
      <c r="A108" s="1">
        <v>43291</v>
      </c>
      <c r="B108" t="s">
        <v>8</v>
      </c>
      <c r="C108" t="s">
        <v>13</v>
      </c>
      <c r="D108">
        <v>20</v>
      </c>
      <c r="E108">
        <v>40</v>
      </c>
      <c r="F108" s="2">
        <v>0.05</v>
      </c>
    </row>
    <row r="109" spans="1:6" x14ac:dyDescent="0.3">
      <c r="A109" s="1">
        <v>43291</v>
      </c>
      <c r="B109" t="s">
        <v>8</v>
      </c>
      <c r="C109" t="s">
        <v>12</v>
      </c>
      <c r="D109">
        <v>19</v>
      </c>
      <c r="E109">
        <v>40</v>
      </c>
      <c r="F109" s="2">
        <v>0.1</v>
      </c>
    </row>
    <row r="110" spans="1:6" x14ac:dyDescent="0.3">
      <c r="A110" s="1">
        <v>43291</v>
      </c>
      <c r="B110" t="s">
        <v>9</v>
      </c>
      <c r="C110" t="s">
        <v>11</v>
      </c>
      <c r="D110">
        <v>18</v>
      </c>
      <c r="E110">
        <v>16</v>
      </c>
      <c r="F110" s="2">
        <v>0.05</v>
      </c>
    </row>
    <row r="111" spans="1:6" x14ac:dyDescent="0.3">
      <c r="A111" s="1">
        <v>43291</v>
      </c>
      <c r="B111" t="s">
        <v>8</v>
      </c>
      <c r="C111" t="s">
        <v>15</v>
      </c>
      <c r="D111">
        <v>2</v>
      </c>
      <c r="E111">
        <v>40</v>
      </c>
      <c r="F111" s="2">
        <v>0.02</v>
      </c>
    </row>
    <row r="112" spans="1:6" x14ac:dyDescent="0.3">
      <c r="A112" s="1">
        <v>43291</v>
      </c>
      <c r="B112" t="s">
        <v>8</v>
      </c>
      <c r="C112" t="s">
        <v>14</v>
      </c>
      <c r="D112">
        <v>7</v>
      </c>
      <c r="E112">
        <v>40</v>
      </c>
      <c r="F112" s="2">
        <v>7.0000000000000007E-2</v>
      </c>
    </row>
    <row r="113" spans="1:6" x14ac:dyDescent="0.3">
      <c r="A113" s="1">
        <v>43291</v>
      </c>
      <c r="B113" t="s">
        <v>7</v>
      </c>
      <c r="C113" t="s">
        <v>15</v>
      </c>
      <c r="D113">
        <v>11</v>
      </c>
      <c r="E113">
        <v>150</v>
      </c>
      <c r="F113" s="2">
        <v>0.05</v>
      </c>
    </row>
    <row r="114" spans="1:6" x14ac:dyDescent="0.3">
      <c r="A114" s="1">
        <v>43291</v>
      </c>
      <c r="B114" t="s">
        <v>10</v>
      </c>
      <c r="C114" t="s">
        <v>12</v>
      </c>
      <c r="D114">
        <v>14</v>
      </c>
      <c r="E114">
        <v>80</v>
      </c>
      <c r="F114" s="2">
        <v>0.11</v>
      </c>
    </row>
    <row r="115" spans="1:6" x14ac:dyDescent="0.3">
      <c r="A115" s="1">
        <v>43291</v>
      </c>
      <c r="B115" t="s">
        <v>8</v>
      </c>
      <c r="C115" t="s">
        <v>13</v>
      </c>
      <c r="D115">
        <v>7</v>
      </c>
      <c r="E115">
        <v>40</v>
      </c>
      <c r="F115" s="2">
        <v>0.04</v>
      </c>
    </row>
    <row r="116" spans="1:6" x14ac:dyDescent="0.3">
      <c r="A116" s="1">
        <v>43291</v>
      </c>
      <c r="B116" t="s">
        <v>10</v>
      </c>
      <c r="C116" t="s">
        <v>14</v>
      </c>
      <c r="D116">
        <v>14</v>
      </c>
      <c r="E116">
        <v>80</v>
      </c>
      <c r="F116" s="2">
        <v>0.05</v>
      </c>
    </row>
    <row r="117" spans="1:6" x14ac:dyDescent="0.3">
      <c r="A117" s="1">
        <v>43292</v>
      </c>
      <c r="B117" t="s">
        <v>9</v>
      </c>
      <c r="C117" t="s">
        <v>15</v>
      </c>
      <c r="D117">
        <v>12</v>
      </c>
      <c r="E117">
        <v>16</v>
      </c>
      <c r="F117" s="2">
        <v>0.11</v>
      </c>
    </row>
    <row r="118" spans="1:6" x14ac:dyDescent="0.3">
      <c r="A118" s="1">
        <v>43292</v>
      </c>
      <c r="B118" t="s">
        <v>8</v>
      </c>
      <c r="C118" t="s">
        <v>13</v>
      </c>
      <c r="D118">
        <v>11</v>
      </c>
      <c r="E118">
        <v>40</v>
      </c>
      <c r="F118" s="2">
        <v>0.05</v>
      </c>
    </row>
    <row r="119" spans="1:6" x14ac:dyDescent="0.3">
      <c r="A119" s="1">
        <v>43292</v>
      </c>
      <c r="B119" t="s">
        <v>9</v>
      </c>
      <c r="C119" t="s">
        <v>15</v>
      </c>
      <c r="D119">
        <v>14</v>
      </c>
      <c r="E119">
        <v>16</v>
      </c>
      <c r="F119" s="2">
        <v>0.01</v>
      </c>
    </row>
    <row r="120" spans="1:6" x14ac:dyDescent="0.3">
      <c r="A120" s="1">
        <v>43292</v>
      </c>
      <c r="B120" t="s">
        <v>6</v>
      </c>
      <c r="C120" t="s">
        <v>14</v>
      </c>
      <c r="D120">
        <v>2</v>
      </c>
      <c r="E120">
        <v>230</v>
      </c>
      <c r="F120" s="2">
        <v>0.08</v>
      </c>
    </row>
    <row r="121" spans="1:6" x14ac:dyDescent="0.3">
      <c r="A121" s="1">
        <v>43292</v>
      </c>
      <c r="B121" t="s">
        <v>9</v>
      </c>
      <c r="C121" t="s">
        <v>11</v>
      </c>
      <c r="D121">
        <v>20</v>
      </c>
      <c r="E121">
        <v>16</v>
      </c>
      <c r="F121" s="2">
        <v>0.11</v>
      </c>
    </row>
    <row r="122" spans="1:6" x14ac:dyDescent="0.3">
      <c r="A122" s="1">
        <v>43292</v>
      </c>
      <c r="B122" t="s">
        <v>9</v>
      </c>
      <c r="C122" t="s">
        <v>15</v>
      </c>
      <c r="D122">
        <v>6</v>
      </c>
      <c r="E122">
        <v>16</v>
      </c>
      <c r="F122" s="2">
        <v>0.06</v>
      </c>
    </row>
    <row r="123" spans="1:6" x14ac:dyDescent="0.3">
      <c r="A123" s="1">
        <v>43292</v>
      </c>
      <c r="B123" t="s">
        <v>10</v>
      </c>
      <c r="C123" t="s">
        <v>14</v>
      </c>
      <c r="D123">
        <v>17</v>
      </c>
      <c r="E123">
        <v>80</v>
      </c>
      <c r="F123" s="2">
        <v>0.05</v>
      </c>
    </row>
    <row r="124" spans="1:6" x14ac:dyDescent="0.3">
      <c r="A124" s="1">
        <v>43292</v>
      </c>
      <c r="B124" t="s">
        <v>8</v>
      </c>
      <c r="C124" t="s">
        <v>11</v>
      </c>
      <c r="D124">
        <v>2</v>
      </c>
      <c r="E124">
        <v>40</v>
      </c>
      <c r="F124" s="2">
        <v>0.12</v>
      </c>
    </row>
    <row r="125" spans="1:6" x14ac:dyDescent="0.3">
      <c r="A125" s="1">
        <v>43292</v>
      </c>
      <c r="B125" t="s">
        <v>9</v>
      </c>
      <c r="C125" t="s">
        <v>11</v>
      </c>
      <c r="D125">
        <v>7</v>
      </c>
      <c r="E125">
        <v>16</v>
      </c>
      <c r="F125" s="2">
        <v>0.12</v>
      </c>
    </row>
    <row r="126" spans="1:6" x14ac:dyDescent="0.3">
      <c r="A126" s="1">
        <v>43292</v>
      </c>
      <c r="B126" t="s">
        <v>7</v>
      </c>
      <c r="C126" t="s">
        <v>11</v>
      </c>
      <c r="D126">
        <v>7</v>
      </c>
      <c r="E126">
        <v>150</v>
      </c>
      <c r="F126" s="2">
        <v>0.02</v>
      </c>
    </row>
    <row r="127" spans="1:6" x14ac:dyDescent="0.3">
      <c r="A127" s="1">
        <v>43292</v>
      </c>
      <c r="B127" t="s">
        <v>10</v>
      </c>
      <c r="C127" t="s">
        <v>11</v>
      </c>
      <c r="D127">
        <v>20</v>
      </c>
      <c r="E127">
        <v>80</v>
      </c>
      <c r="F127" s="2">
        <v>0.01</v>
      </c>
    </row>
    <row r="128" spans="1:6" x14ac:dyDescent="0.3">
      <c r="A128" s="1">
        <v>43292</v>
      </c>
      <c r="B128" t="s">
        <v>10</v>
      </c>
      <c r="C128" t="s">
        <v>14</v>
      </c>
      <c r="D128">
        <v>11</v>
      </c>
      <c r="E128">
        <v>80</v>
      </c>
      <c r="F128" s="2">
        <v>0.01</v>
      </c>
    </row>
    <row r="129" spans="1:6" x14ac:dyDescent="0.3">
      <c r="A129" s="1">
        <v>43292</v>
      </c>
      <c r="B129" t="s">
        <v>10</v>
      </c>
      <c r="C129" t="s">
        <v>15</v>
      </c>
      <c r="D129">
        <v>10</v>
      </c>
      <c r="E129">
        <v>80</v>
      </c>
      <c r="F129" s="2">
        <v>0.08</v>
      </c>
    </row>
    <row r="130" spans="1:6" x14ac:dyDescent="0.3">
      <c r="A130" s="1">
        <v>43293</v>
      </c>
      <c r="B130" t="s">
        <v>10</v>
      </c>
      <c r="C130" t="s">
        <v>12</v>
      </c>
      <c r="D130">
        <v>5</v>
      </c>
      <c r="E130">
        <v>80</v>
      </c>
      <c r="F130" s="2">
        <v>0.04</v>
      </c>
    </row>
    <row r="131" spans="1:6" x14ac:dyDescent="0.3">
      <c r="A131" s="1">
        <v>43293</v>
      </c>
      <c r="B131" t="s">
        <v>10</v>
      </c>
      <c r="C131" t="s">
        <v>14</v>
      </c>
      <c r="D131">
        <v>4</v>
      </c>
      <c r="E131">
        <v>80</v>
      </c>
      <c r="F131" s="2">
        <v>0.11</v>
      </c>
    </row>
    <row r="132" spans="1:6" x14ac:dyDescent="0.3">
      <c r="A132" s="1">
        <v>43293</v>
      </c>
      <c r="B132" t="s">
        <v>9</v>
      </c>
      <c r="C132" t="s">
        <v>15</v>
      </c>
      <c r="D132">
        <v>3</v>
      </c>
      <c r="E132">
        <v>16</v>
      </c>
      <c r="F132" s="2">
        <v>0.05</v>
      </c>
    </row>
    <row r="133" spans="1:6" x14ac:dyDescent="0.3">
      <c r="A133" s="1">
        <v>43293</v>
      </c>
      <c r="B133" t="s">
        <v>10</v>
      </c>
      <c r="C133" t="s">
        <v>11</v>
      </c>
      <c r="D133">
        <v>9</v>
      </c>
      <c r="E133">
        <v>80</v>
      </c>
      <c r="F133" s="2">
        <v>0.04</v>
      </c>
    </row>
    <row r="134" spans="1:6" x14ac:dyDescent="0.3">
      <c r="A134" s="1">
        <v>43293</v>
      </c>
      <c r="B134" t="s">
        <v>10</v>
      </c>
      <c r="C134" t="s">
        <v>13</v>
      </c>
      <c r="D134">
        <v>16</v>
      </c>
      <c r="E134">
        <v>80</v>
      </c>
      <c r="F134" s="2">
        <v>0.09</v>
      </c>
    </row>
    <row r="135" spans="1:6" x14ac:dyDescent="0.3">
      <c r="A135" s="1">
        <v>43294</v>
      </c>
      <c r="B135" t="s">
        <v>9</v>
      </c>
      <c r="C135" t="s">
        <v>12</v>
      </c>
      <c r="D135">
        <v>7</v>
      </c>
      <c r="E135">
        <v>16</v>
      </c>
      <c r="F135" s="2">
        <v>0.08</v>
      </c>
    </row>
    <row r="136" spans="1:6" x14ac:dyDescent="0.3">
      <c r="A136" s="1">
        <v>43294</v>
      </c>
      <c r="B136" t="s">
        <v>7</v>
      </c>
      <c r="C136" t="s">
        <v>12</v>
      </c>
      <c r="D136">
        <v>16</v>
      </c>
      <c r="E136">
        <v>150</v>
      </c>
      <c r="F136" s="2">
        <v>0.05</v>
      </c>
    </row>
    <row r="137" spans="1:6" x14ac:dyDescent="0.3">
      <c r="A137" s="1">
        <v>43294</v>
      </c>
      <c r="B137" t="s">
        <v>9</v>
      </c>
      <c r="C137" t="s">
        <v>14</v>
      </c>
      <c r="D137">
        <v>10</v>
      </c>
      <c r="E137">
        <v>16</v>
      </c>
      <c r="F137" s="2">
        <v>0.04</v>
      </c>
    </row>
    <row r="138" spans="1:6" x14ac:dyDescent="0.3">
      <c r="A138" s="1">
        <v>43294</v>
      </c>
      <c r="B138" t="s">
        <v>8</v>
      </c>
      <c r="C138" t="s">
        <v>12</v>
      </c>
      <c r="D138">
        <v>4</v>
      </c>
      <c r="E138">
        <v>40</v>
      </c>
      <c r="F138" s="2">
        <v>0.03</v>
      </c>
    </row>
    <row r="139" spans="1:6" x14ac:dyDescent="0.3">
      <c r="A139" s="1">
        <v>43294</v>
      </c>
      <c r="B139" t="s">
        <v>8</v>
      </c>
      <c r="C139" t="s">
        <v>12</v>
      </c>
      <c r="D139">
        <v>15</v>
      </c>
      <c r="E139">
        <v>40</v>
      </c>
      <c r="F139" s="2">
        <v>0.02</v>
      </c>
    </row>
    <row r="140" spans="1:6" x14ac:dyDescent="0.3">
      <c r="A140" s="1">
        <v>43294</v>
      </c>
      <c r="B140" t="s">
        <v>10</v>
      </c>
      <c r="C140" t="s">
        <v>15</v>
      </c>
      <c r="D140">
        <v>6</v>
      </c>
      <c r="E140">
        <v>80</v>
      </c>
      <c r="F140" s="2">
        <v>0.09</v>
      </c>
    </row>
    <row r="141" spans="1:6" x14ac:dyDescent="0.3">
      <c r="A141" s="1">
        <v>43294</v>
      </c>
      <c r="B141" t="s">
        <v>7</v>
      </c>
      <c r="C141" t="s">
        <v>11</v>
      </c>
      <c r="D141">
        <v>20</v>
      </c>
      <c r="E141">
        <v>150</v>
      </c>
      <c r="F141" s="2">
        <v>0.01</v>
      </c>
    </row>
    <row r="142" spans="1:6" x14ac:dyDescent="0.3">
      <c r="A142" s="1">
        <v>43294</v>
      </c>
      <c r="B142" t="s">
        <v>9</v>
      </c>
      <c r="C142" t="s">
        <v>11</v>
      </c>
      <c r="D142">
        <v>7</v>
      </c>
      <c r="E142">
        <v>16</v>
      </c>
      <c r="F142" s="2">
        <v>0.08</v>
      </c>
    </row>
    <row r="143" spans="1:6" x14ac:dyDescent="0.3">
      <c r="A143" s="1">
        <v>43294</v>
      </c>
      <c r="B143" t="s">
        <v>10</v>
      </c>
      <c r="C143" t="s">
        <v>12</v>
      </c>
      <c r="D143">
        <v>2</v>
      </c>
      <c r="E143">
        <v>80</v>
      </c>
      <c r="F143" s="2">
        <v>7.0000000000000007E-2</v>
      </c>
    </row>
    <row r="144" spans="1:6" x14ac:dyDescent="0.3">
      <c r="A144" s="1">
        <v>43294</v>
      </c>
      <c r="B144" t="s">
        <v>8</v>
      </c>
      <c r="C144" t="s">
        <v>12</v>
      </c>
      <c r="D144">
        <v>23</v>
      </c>
      <c r="E144">
        <v>40</v>
      </c>
      <c r="F144" s="2">
        <v>0.06</v>
      </c>
    </row>
    <row r="145" spans="1:6" x14ac:dyDescent="0.3">
      <c r="A145" s="1">
        <v>43294</v>
      </c>
      <c r="B145" t="s">
        <v>9</v>
      </c>
      <c r="C145" t="s">
        <v>11</v>
      </c>
      <c r="D145">
        <v>12</v>
      </c>
      <c r="E145">
        <v>16</v>
      </c>
      <c r="F145" s="2">
        <v>0.11</v>
      </c>
    </row>
    <row r="146" spans="1:6" x14ac:dyDescent="0.3">
      <c r="A146" s="1">
        <v>43294</v>
      </c>
      <c r="B146" t="s">
        <v>6</v>
      </c>
      <c r="C146" t="s">
        <v>14</v>
      </c>
      <c r="D146">
        <v>2</v>
      </c>
      <c r="E146">
        <v>230</v>
      </c>
      <c r="F146" s="2">
        <v>0.09</v>
      </c>
    </row>
    <row r="147" spans="1:6" x14ac:dyDescent="0.3">
      <c r="A147" s="1">
        <v>43294</v>
      </c>
      <c r="B147" t="s">
        <v>7</v>
      </c>
      <c r="C147" t="s">
        <v>11</v>
      </c>
      <c r="D147">
        <v>4</v>
      </c>
      <c r="E147">
        <v>150</v>
      </c>
      <c r="F147" s="2">
        <v>0.06</v>
      </c>
    </row>
    <row r="148" spans="1:6" x14ac:dyDescent="0.3">
      <c r="A148" s="1">
        <v>43294</v>
      </c>
      <c r="B148" t="s">
        <v>8</v>
      </c>
      <c r="C148" t="s">
        <v>11</v>
      </c>
      <c r="D148">
        <v>23</v>
      </c>
      <c r="E148">
        <v>40</v>
      </c>
      <c r="F148" s="2">
        <v>7.0000000000000007E-2</v>
      </c>
    </row>
    <row r="149" spans="1:6" x14ac:dyDescent="0.3">
      <c r="A149" s="1">
        <v>43294</v>
      </c>
      <c r="B149" t="s">
        <v>9</v>
      </c>
      <c r="C149" t="s">
        <v>13</v>
      </c>
      <c r="D149">
        <v>2</v>
      </c>
      <c r="E149">
        <v>16</v>
      </c>
      <c r="F149" s="2">
        <v>0.04</v>
      </c>
    </row>
    <row r="150" spans="1:6" x14ac:dyDescent="0.3">
      <c r="A150" s="1">
        <v>43294</v>
      </c>
      <c r="B150" t="s">
        <v>7</v>
      </c>
      <c r="C150" t="s">
        <v>14</v>
      </c>
      <c r="D150">
        <v>7</v>
      </c>
      <c r="E150">
        <v>150</v>
      </c>
      <c r="F150" s="2">
        <v>0.05</v>
      </c>
    </row>
    <row r="151" spans="1:6" x14ac:dyDescent="0.3">
      <c r="A151" s="1">
        <v>43295</v>
      </c>
      <c r="B151" t="s">
        <v>8</v>
      </c>
      <c r="C151" t="s">
        <v>11</v>
      </c>
      <c r="D151">
        <v>15</v>
      </c>
      <c r="E151">
        <v>40</v>
      </c>
      <c r="F151" s="2">
        <v>0.06</v>
      </c>
    </row>
    <row r="152" spans="1:6" x14ac:dyDescent="0.3">
      <c r="A152" s="1">
        <v>43295</v>
      </c>
      <c r="B152" t="s">
        <v>10</v>
      </c>
      <c r="C152" t="s">
        <v>14</v>
      </c>
      <c r="D152">
        <v>16</v>
      </c>
      <c r="E152">
        <v>80</v>
      </c>
      <c r="F152" s="2">
        <v>0.05</v>
      </c>
    </row>
    <row r="153" spans="1:6" x14ac:dyDescent="0.3">
      <c r="A153" s="1">
        <v>43295</v>
      </c>
      <c r="B153" t="s">
        <v>8</v>
      </c>
      <c r="C153" t="s">
        <v>13</v>
      </c>
      <c r="D153">
        <v>16</v>
      </c>
      <c r="E153">
        <v>40</v>
      </c>
      <c r="F153" s="2">
        <v>0.11</v>
      </c>
    </row>
    <row r="154" spans="1:6" x14ac:dyDescent="0.3">
      <c r="A154" s="1">
        <v>43295</v>
      </c>
      <c r="B154" t="s">
        <v>9</v>
      </c>
      <c r="C154" t="s">
        <v>13</v>
      </c>
      <c r="D154">
        <v>23</v>
      </c>
      <c r="E154">
        <v>16</v>
      </c>
      <c r="F154" s="2">
        <v>0.01</v>
      </c>
    </row>
    <row r="155" spans="1:6" x14ac:dyDescent="0.3">
      <c r="A155" s="1">
        <v>43295</v>
      </c>
      <c r="B155" t="s">
        <v>6</v>
      </c>
      <c r="C155" t="s">
        <v>12</v>
      </c>
      <c r="D155">
        <v>12</v>
      </c>
      <c r="E155">
        <v>230</v>
      </c>
      <c r="F155" s="2">
        <v>0.03</v>
      </c>
    </row>
    <row r="156" spans="1:6" x14ac:dyDescent="0.3">
      <c r="A156" s="1">
        <v>43295</v>
      </c>
      <c r="B156" t="s">
        <v>9</v>
      </c>
      <c r="C156" t="s">
        <v>11</v>
      </c>
      <c r="D156">
        <v>4</v>
      </c>
      <c r="E156">
        <v>16</v>
      </c>
      <c r="F156" s="2">
        <v>0.12</v>
      </c>
    </row>
    <row r="157" spans="1:6" x14ac:dyDescent="0.3">
      <c r="A157" s="1">
        <v>43295</v>
      </c>
      <c r="B157" t="s">
        <v>7</v>
      </c>
      <c r="C157" t="s">
        <v>14</v>
      </c>
      <c r="D157">
        <v>3</v>
      </c>
      <c r="E157">
        <v>150</v>
      </c>
      <c r="F157" s="2">
        <v>0.01</v>
      </c>
    </row>
    <row r="158" spans="1:6" x14ac:dyDescent="0.3">
      <c r="A158" s="1">
        <v>43295</v>
      </c>
      <c r="B158" t="s">
        <v>7</v>
      </c>
      <c r="C158" t="s">
        <v>12</v>
      </c>
      <c r="D158">
        <v>10</v>
      </c>
      <c r="E158">
        <v>150</v>
      </c>
      <c r="F158" s="2">
        <v>0.01</v>
      </c>
    </row>
    <row r="159" spans="1:6" x14ac:dyDescent="0.3">
      <c r="A159" s="1">
        <v>43295</v>
      </c>
      <c r="B159" t="s">
        <v>10</v>
      </c>
      <c r="C159" t="s">
        <v>12</v>
      </c>
      <c r="D159">
        <v>13</v>
      </c>
      <c r="E159">
        <v>80</v>
      </c>
      <c r="F159" s="2">
        <v>0.06</v>
      </c>
    </row>
    <row r="160" spans="1:6" x14ac:dyDescent="0.3">
      <c r="A160" s="1">
        <v>43295</v>
      </c>
      <c r="B160" t="s">
        <v>6</v>
      </c>
      <c r="C160" t="s">
        <v>15</v>
      </c>
      <c r="D160">
        <v>15</v>
      </c>
      <c r="E160">
        <v>230</v>
      </c>
      <c r="F160" s="2">
        <v>0.04</v>
      </c>
    </row>
    <row r="161" spans="1:6" x14ac:dyDescent="0.3">
      <c r="A161" s="1">
        <v>43295</v>
      </c>
      <c r="B161" t="s">
        <v>7</v>
      </c>
      <c r="C161" t="s">
        <v>11</v>
      </c>
      <c r="D161">
        <v>23</v>
      </c>
      <c r="E161">
        <v>150</v>
      </c>
      <c r="F161" s="2">
        <v>0.1</v>
      </c>
    </row>
    <row r="162" spans="1:6" x14ac:dyDescent="0.3">
      <c r="A162" s="1">
        <v>43295</v>
      </c>
      <c r="B162" t="s">
        <v>7</v>
      </c>
      <c r="C162" t="s">
        <v>12</v>
      </c>
      <c r="D162">
        <v>15</v>
      </c>
      <c r="E162">
        <v>150</v>
      </c>
      <c r="F162" s="2">
        <v>0.12</v>
      </c>
    </row>
    <row r="163" spans="1:6" x14ac:dyDescent="0.3">
      <c r="A163" s="1">
        <v>43295</v>
      </c>
      <c r="B163" t="s">
        <v>7</v>
      </c>
      <c r="C163" t="s">
        <v>15</v>
      </c>
      <c r="D163">
        <v>20</v>
      </c>
      <c r="E163">
        <v>150</v>
      </c>
      <c r="F163" s="2">
        <v>0.12</v>
      </c>
    </row>
    <row r="164" spans="1:6" x14ac:dyDescent="0.3">
      <c r="A164" s="1">
        <v>43295</v>
      </c>
      <c r="B164" t="s">
        <v>8</v>
      </c>
      <c r="C164" t="s">
        <v>14</v>
      </c>
      <c r="D164">
        <v>13</v>
      </c>
      <c r="E164">
        <v>40</v>
      </c>
      <c r="F164" s="2">
        <v>0.09</v>
      </c>
    </row>
    <row r="165" spans="1:6" x14ac:dyDescent="0.3">
      <c r="A165" s="1">
        <v>43296</v>
      </c>
      <c r="B165" t="s">
        <v>9</v>
      </c>
      <c r="C165" t="s">
        <v>15</v>
      </c>
      <c r="D165">
        <v>11</v>
      </c>
      <c r="E165">
        <v>16</v>
      </c>
      <c r="F165" s="2">
        <v>0.04</v>
      </c>
    </row>
    <row r="166" spans="1:6" x14ac:dyDescent="0.3">
      <c r="A166" s="1">
        <v>43296</v>
      </c>
      <c r="B166" t="s">
        <v>7</v>
      </c>
      <c r="C166" t="s">
        <v>15</v>
      </c>
      <c r="D166">
        <v>20</v>
      </c>
      <c r="E166">
        <v>150</v>
      </c>
      <c r="F166" s="2">
        <v>0.04</v>
      </c>
    </row>
    <row r="167" spans="1:6" x14ac:dyDescent="0.3">
      <c r="A167" s="1">
        <v>43296</v>
      </c>
      <c r="B167" t="s">
        <v>8</v>
      </c>
      <c r="C167" t="s">
        <v>11</v>
      </c>
      <c r="D167">
        <v>18</v>
      </c>
      <c r="E167">
        <v>40</v>
      </c>
      <c r="F167" s="2">
        <v>0.11</v>
      </c>
    </row>
    <row r="168" spans="1:6" x14ac:dyDescent="0.3">
      <c r="A168" s="1">
        <v>43296</v>
      </c>
      <c r="B168" t="s">
        <v>8</v>
      </c>
      <c r="C168" t="s">
        <v>15</v>
      </c>
      <c r="D168">
        <v>2</v>
      </c>
      <c r="E168">
        <v>40</v>
      </c>
      <c r="F168" s="2">
        <v>0.03</v>
      </c>
    </row>
    <row r="169" spans="1:6" x14ac:dyDescent="0.3">
      <c r="A169" s="1">
        <v>43296</v>
      </c>
      <c r="B169" t="s">
        <v>9</v>
      </c>
      <c r="C169" t="s">
        <v>14</v>
      </c>
      <c r="D169">
        <v>15</v>
      </c>
      <c r="E169">
        <v>16</v>
      </c>
      <c r="F169" s="2">
        <v>0.12</v>
      </c>
    </row>
    <row r="170" spans="1:6" x14ac:dyDescent="0.3">
      <c r="A170" s="1">
        <v>43296</v>
      </c>
      <c r="B170" t="s">
        <v>9</v>
      </c>
      <c r="C170" t="s">
        <v>15</v>
      </c>
      <c r="D170">
        <v>9</v>
      </c>
      <c r="E170">
        <v>16</v>
      </c>
      <c r="F170" s="2">
        <v>0.05</v>
      </c>
    </row>
    <row r="171" spans="1:6" x14ac:dyDescent="0.3">
      <c r="A171" s="1">
        <v>43296</v>
      </c>
      <c r="B171" t="s">
        <v>8</v>
      </c>
      <c r="C171" t="s">
        <v>13</v>
      </c>
      <c r="D171">
        <v>7</v>
      </c>
      <c r="E171">
        <v>40</v>
      </c>
      <c r="F171" s="2">
        <v>0.05</v>
      </c>
    </row>
    <row r="172" spans="1:6" x14ac:dyDescent="0.3">
      <c r="A172" s="1">
        <v>43296</v>
      </c>
      <c r="B172" t="s">
        <v>7</v>
      </c>
      <c r="C172" t="s">
        <v>13</v>
      </c>
      <c r="D172">
        <v>4</v>
      </c>
      <c r="E172">
        <v>150</v>
      </c>
      <c r="F172" s="2">
        <v>0.05</v>
      </c>
    </row>
    <row r="173" spans="1:6" x14ac:dyDescent="0.3">
      <c r="A173" s="1">
        <v>43296</v>
      </c>
      <c r="B173" t="s">
        <v>6</v>
      </c>
      <c r="C173" t="s">
        <v>11</v>
      </c>
      <c r="D173">
        <v>15</v>
      </c>
      <c r="E173">
        <v>230</v>
      </c>
      <c r="F173" s="2">
        <v>0.05</v>
      </c>
    </row>
    <row r="174" spans="1:6" x14ac:dyDescent="0.3">
      <c r="A174" s="1">
        <v>43297</v>
      </c>
      <c r="B174" t="s">
        <v>8</v>
      </c>
      <c r="C174" t="s">
        <v>12</v>
      </c>
      <c r="D174">
        <v>12</v>
      </c>
      <c r="E174">
        <v>40</v>
      </c>
      <c r="F174" s="2">
        <v>0.1</v>
      </c>
    </row>
    <row r="175" spans="1:6" x14ac:dyDescent="0.3">
      <c r="A175" s="1">
        <v>43297</v>
      </c>
      <c r="B175" t="s">
        <v>6</v>
      </c>
      <c r="C175" t="s">
        <v>14</v>
      </c>
      <c r="D175">
        <v>23</v>
      </c>
      <c r="E175">
        <v>230</v>
      </c>
      <c r="F175" s="2">
        <v>0.06</v>
      </c>
    </row>
    <row r="176" spans="1:6" x14ac:dyDescent="0.3">
      <c r="A176" s="1">
        <v>43297</v>
      </c>
      <c r="B176" t="s">
        <v>9</v>
      </c>
      <c r="C176" t="s">
        <v>11</v>
      </c>
      <c r="D176">
        <v>11</v>
      </c>
      <c r="E176">
        <v>16</v>
      </c>
      <c r="F176" s="2">
        <v>0.09</v>
      </c>
    </row>
    <row r="177" spans="1:6" x14ac:dyDescent="0.3">
      <c r="A177" s="1">
        <v>43297</v>
      </c>
      <c r="B177" t="s">
        <v>7</v>
      </c>
      <c r="C177" t="s">
        <v>11</v>
      </c>
      <c r="D177">
        <v>9</v>
      </c>
      <c r="E177">
        <v>150</v>
      </c>
      <c r="F177" s="2">
        <v>0.1</v>
      </c>
    </row>
    <row r="178" spans="1:6" x14ac:dyDescent="0.3">
      <c r="A178" s="1">
        <v>43297</v>
      </c>
      <c r="B178" t="s">
        <v>10</v>
      </c>
      <c r="C178" t="s">
        <v>11</v>
      </c>
      <c r="D178">
        <v>18</v>
      </c>
      <c r="E178">
        <v>80</v>
      </c>
      <c r="F178" s="2">
        <v>0.02</v>
      </c>
    </row>
    <row r="179" spans="1:6" x14ac:dyDescent="0.3">
      <c r="A179" s="1">
        <v>43297</v>
      </c>
      <c r="B179" t="s">
        <v>8</v>
      </c>
      <c r="C179" t="s">
        <v>13</v>
      </c>
      <c r="D179">
        <v>23</v>
      </c>
      <c r="E179">
        <v>40</v>
      </c>
      <c r="F179" s="2">
        <v>0.04</v>
      </c>
    </row>
    <row r="180" spans="1:6" x14ac:dyDescent="0.3">
      <c r="A180" s="1">
        <v>43297</v>
      </c>
      <c r="B180" t="s">
        <v>9</v>
      </c>
      <c r="C180" t="s">
        <v>13</v>
      </c>
      <c r="D180">
        <v>17</v>
      </c>
      <c r="E180">
        <v>16</v>
      </c>
      <c r="F180" s="2">
        <v>0.1</v>
      </c>
    </row>
    <row r="181" spans="1:6" x14ac:dyDescent="0.3">
      <c r="A181" s="1">
        <v>43297</v>
      </c>
      <c r="B181" t="s">
        <v>7</v>
      </c>
      <c r="C181" t="s">
        <v>13</v>
      </c>
      <c r="D181">
        <v>17</v>
      </c>
      <c r="E181">
        <v>150</v>
      </c>
      <c r="F181" s="2">
        <v>0.02</v>
      </c>
    </row>
    <row r="182" spans="1:6" x14ac:dyDescent="0.3">
      <c r="A182" s="1">
        <v>43297</v>
      </c>
      <c r="B182" t="s">
        <v>10</v>
      </c>
      <c r="C182" t="s">
        <v>14</v>
      </c>
      <c r="D182">
        <v>21</v>
      </c>
      <c r="E182">
        <v>80</v>
      </c>
      <c r="F182" s="2">
        <v>0.02</v>
      </c>
    </row>
    <row r="183" spans="1:6" x14ac:dyDescent="0.3">
      <c r="A183" s="1">
        <v>43297</v>
      </c>
      <c r="B183" t="s">
        <v>8</v>
      </c>
      <c r="C183" t="s">
        <v>14</v>
      </c>
      <c r="D183">
        <v>11</v>
      </c>
      <c r="E183">
        <v>40</v>
      </c>
      <c r="F183" s="2">
        <v>0.06</v>
      </c>
    </row>
    <row r="184" spans="1:6" x14ac:dyDescent="0.3">
      <c r="A184" s="1">
        <v>43297</v>
      </c>
      <c r="B184" t="s">
        <v>8</v>
      </c>
      <c r="C184" t="s">
        <v>11</v>
      </c>
      <c r="D184">
        <v>19</v>
      </c>
      <c r="E184">
        <v>40</v>
      </c>
      <c r="F184" s="2">
        <v>0.04</v>
      </c>
    </row>
    <row r="185" spans="1:6" x14ac:dyDescent="0.3">
      <c r="A185" s="1">
        <v>43297</v>
      </c>
      <c r="B185" t="s">
        <v>8</v>
      </c>
      <c r="C185" t="s">
        <v>11</v>
      </c>
      <c r="D185">
        <v>23</v>
      </c>
      <c r="E185">
        <v>40</v>
      </c>
      <c r="F185" s="2">
        <v>0.03</v>
      </c>
    </row>
    <row r="186" spans="1:6" x14ac:dyDescent="0.3">
      <c r="A186" s="1">
        <v>43297</v>
      </c>
      <c r="B186" t="s">
        <v>6</v>
      </c>
      <c r="C186" t="s">
        <v>12</v>
      </c>
      <c r="D186">
        <v>14</v>
      </c>
      <c r="E186">
        <v>230</v>
      </c>
      <c r="F186" s="2">
        <v>0.05</v>
      </c>
    </row>
    <row r="187" spans="1:6" x14ac:dyDescent="0.3">
      <c r="A187" s="1">
        <v>43297</v>
      </c>
      <c r="B187" t="s">
        <v>8</v>
      </c>
      <c r="C187" t="s">
        <v>15</v>
      </c>
      <c r="D187">
        <v>18</v>
      </c>
      <c r="E187">
        <v>40</v>
      </c>
      <c r="F187" s="2">
        <v>0.03</v>
      </c>
    </row>
    <row r="188" spans="1:6" x14ac:dyDescent="0.3">
      <c r="A188" s="1">
        <v>43297</v>
      </c>
      <c r="B188" t="s">
        <v>7</v>
      </c>
      <c r="C188" t="s">
        <v>12</v>
      </c>
      <c r="D188">
        <v>2</v>
      </c>
      <c r="E188">
        <v>150</v>
      </c>
      <c r="F188" s="2">
        <v>0.09</v>
      </c>
    </row>
    <row r="189" spans="1:6" x14ac:dyDescent="0.3">
      <c r="A189" s="1">
        <v>43297</v>
      </c>
      <c r="B189" t="s">
        <v>6</v>
      </c>
      <c r="C189" t="s">
        <v>12</v>
      </c>
      <c r="D189">
        <v>7</v>
      </c>
      <c r="E189">
        <v>230</v>
      </c>
      <c r="F189" s="2">
        <v>0.05</v>
      </c>
    </row>
    <row r="190" spans="1:6" x14ac:dyDescent="0.3">
      <c r="A190" s="1">
        <v>43298</v>
      </c>
      <c r="B190" t="s">
        <v>7</v>
      </c>
      <c r="C190" t="s">
        <v>15</v>
      </c>
      <c r="D190">
        <v>9</v>
      </c>
      <c r="E190">
        <v>150</v>
      </c>
      <c r="F190" s="2">
        <v>0.02</v>
      </c>
    </row>
    <row r="191" spans="1:6" x14ac:dyDescent="0.3">
      <c r="A191" s="1">
        <v>43298</v>
      </c>
      <c r="B191" t="s">
        <v>8</v>
      </c>
      <c r="C191" t="s">
        <v>13</v>
      </c>
      <c r="D191">
        <v>3</v>
      </c>
      <c r="E191">
        <v>40</v>
      </c>
      <c r="F191" s="2">
        <v>0.03</v>
      </c>
    </row>
    <row r="192" spans="1:6" x14ac:dyDescent="0.3">
      <c r="A192" s="1">
        <v>43298</v>
      </c>
      <c r="B192" t="s">
        <v>10</v>
      </c>
      <c r="C192" t="s">
        <v>14</v>
      </c>
      <c r="D192">
        <v>2</v>
      </c>
      <c r="E192">
        <v>80</v>
      </c>
      <c r="F192" s="2">
        <v>0.08</v>
      </c>
    </row>
    <row r="193" spans="1:6" x14ac:dyDescent="0.3">
      <c r="A193" s="1">
        <v>43298</v>
      </c>
      <c r="B193" t="s">
        <v>9</v>
      </c>
      <c r="C193" t="s">
        <v>13</v>
      </c>
      <c r="D193">
        <v>19</v>
      </c>
      <c r="E193">
        <v>16</v>
      </c>
      <c r="F193" s="2">
        <v>0.02</v>
      </c>
    </row>
    <row r="194" spans="1:6" x14ac:dyDescent="0.3">
      <c r="A194" s="1">
        <v>43298</v>
      </c>
      <c r="B194" t="s">
        <v>9</v>
      </c>
      <c r="C194" t="s">
        <v>12</v>
      </c>
      <c r="D194">
        <v>21</v>
      </c>
      <c r="E194">
        <v>16</v>
      </c>
      <c r="F194" s="2">
        <v>0.02</v>
      </c>
    </row>
    <row r="195" spans="1:6" x14ac:dyDescent="0.3">
      <c r="A195" s="1">
        <v>43298</v>
      </c>
      <c r="B195" t="s">
        <v>10</v>
      </c>
      <c r="C195" t="s">
        <v>14</v>
      </c>
      <c r="D195">
        <v>21</v>
      </c>
      <c r="E195">
        <v>80</v>
      </c>
      <c r="F195" s="2">
        <v>0.05</v>
      </c>
    </row>
    <row r="196" spans="1:6" x14ac:dyDescent="0.3">
      <c r="A196" s="1">
        <v>43298</v>
      </c>
      <c r="B196" t="s">
        <v>6</v>
      </c>
      <c r="C196" t="s">
        <v>13</v>
      </c>
      <c r="D196">
        <v>3</v>
      </c>
      <c r="E196">
        <v>230</v>
      </c>
      <c r="F196" s="2">
        <v>0.1</v>
      </c>
    </row>
    <row r="197" spans="1:6" x14ac:dyDescent="0.3">
      <c r="A197" s="1">
        <v>43298</v>
      </c>
      <c r="B197" t="s">
        <v>8</v>
      </c>
      <c r="C197" t="s">
        <v>15</v>
      </c>
      <c r="D197">
        <v>4</v>
      </c>
      <c r="E197">
        <v>40</v>
      </c>
      <c r="F197" s="2">
        <v>0.11</v>
      </c>
    </row>
    <row r="198" spans="1:6" x14ac:dyDescent="0.3">
      <c r="A198" s="1">
        <v>43298</v>
      </c>
      <c r="B198" t="s">
        <v>7</v>
      </c>
      <c r="C198" t="s">
        <v>13</v>
      </c>
      <c r="D198">
        <v>7</v>
      </c>
      <c r="E198">
        <v>150</v>
      </c>
      <c r="F198" s="2">
        <v>0.03</v>
      </c>
    </row>
    <row r="199" spans="1:6" x14ac:dyDescent="0.3">
      <c r="A199" s="1">
        <v>43298</v>
      </c>
      <c r="B199" t="s">
        <v>9</v>
      </c>
      <c r="C199" t="s">
        <v>15</v>
      </c>
      <c r="D199">
        <v>11</v>
      </c>
      <c r="E199">
        <v>16</v>
      </c>
      <c r="F199" s="2">
        <v>0.12</v>
      </c>
    </row>
    <row r="200" spans="1:6" x14ac:dyDescent="0.3">
      <c r="A200" s="1">
        <v>43298</v>
      </c>
      <c r="B200" t="s">
        <v>10</v>
      </c>
      <c r="C200" t="s">
        <v>11</v>
      </c>
      <c r="D200">
        <v>17</v>
      </c>
      <c r="E200">
        <v>80</v>
      </c>
      <c r="F200" s="2">
        <v>7.0000000000000007E-2</v>
      </c>
    </row>
    <row r="201" spans="1:6" x14ac:dyDescent="0.3">
      <c r="A201" s="1">
        <v>43298</v>
      </c>
      <c r="B201" t="s">
        <v>9</v>
      </c>
      <c r="C201" t="s">
        <v>14</v>
      </c>
      <c r="D201">
        <v>5</v>
      </c>
      <c r="E201">
        <v>16</v>
      </c>
      <c r="F201" s="2">
        <v>0.09</v>
      </c>
    </row>
    <row r="202" spans="1:6" x14ac:dyDescent="0.3">
      <c r="A202" s="1">
        <v>43298</v>
      </c>
      <c r="B202" t="s">
        <v>9</v>
      </c>
      <c r="C202" t="s">
        <v>13</v>
      </c>
      <c r="D202">
        <v>13</v>
      </c>
      <c r="E202">
        <v>16</v>
      </c>
      <c r="F202" s="2">
        <v>7.0000000000000007E-2</v>
      </c>
    </row>
    <row r="203" spans="1:6" x14ac:dyDescent="0.3">
      <c r="A203" s="1">
        <v>43298</v>
      </c>
      <c r="B203" t="s">
        <v>10</v>
      </c>
      <c r="C203" t="s">
        <v>13</v>
      </c>
      <c r="D203">
        <v>9</v>
      </c>
      <c r="E203">
        <v>80</v>
      </c>
      <c r="F203" s="2">
        <v>0.02</v>
      </c>
    </row>
    <row r="204" spans="1:6" x14ac:dyDescent="0.3">
      <c r="A204" s="1">
        <v>43299</v>
      </c>
      <c r="B204" t="s">
        <v>10</v>
      </c>
      <c r="C204" t="s">
        <v>13</v>
      </c>
      <c r="D204">
        <v>9</v>
      </c>
      <c r="E204">
        <v>80</v>
      </c>
      <c r="F204" s="2">
        <v>0.02</v>
      </c>
    </row>
    <row r="205" spans="1:6" x14ac:dyDescent="0.3">
      <c r="A205" s="1">
        <v>43299</v>
      </c>
      <c r="B205" t="s">
        <v>10</v>
      </c>
      <c r="C205" t="s">
        <v>14</v>
      </c>
      <c r="D205">
        <v>22</v>
      </c>
      <c r="E205">
        <v>80</v>
      </c>
      <c r="F205" s="2">
        <v>0.03</v>
      </c>
    </row>
    <row r="206" spans="1:6" x14ac:dyDescent="0.3">
      <c r="A206" s="1">
        <v>43299</v>
      </c>
      <c r="B206" t="s">
        <v>7</v>
      </c>
      <c r="C206" t="s">
        <v>11</v>
      </c>
      <c r="D206">
        <v>13</v>
      </c>
      <c r="E206">
        <v>150</v>
      </c>
      <c r="F206" s="2">
        <v>0.05</v>
      </c>
    </row>
    <row r="207" spans="1:6" x14ac:dyDescent="0.3">
      <c r="A207" s="1">
        <v>43299</v>
      </c>
      <c r="B207" t="s">
        <v>10</v>
      </c>
      <c r="C207" t="s">
        <v>11</v>
      </c>
      <c r="D207">
        <v>14</v>
      </c>
      <c r="E207">
        <v>80</v>
      </c>
      <c r="F207" s="2">
        <v>0.08</v>
      </c>
    </row>
    <row r="208" spans="1:6" x14ac:dyDescent="0.3">
      <c r="A208" s="1">
        <v>43299</v>
      </c>
      <c r="B208" t="s">
        <v>10</v>
      </c>
      <c r="C208" t="s">
        <v>11</v>
      </c>
      <c r="D208">
        <v>6</v>
      </c>
      <c r="E208">
        <v>80</v>
      </c>
      <c r="F208" s="2">
        <v>7.0000000000000007E-2</v>
      </c>
    </row>
    <row r="209" spans="1:6" x14ac:dyDescent="0.3">
      <c r="A209" s="1">
        <v>43299</v>
      </c>
      <c r="B209" t="s">
        <v>10</v>
      </c>
      <c r="C209" t="s">
        <v>11</v>
      </c>
      <c r="D209">
        <v>16</v>
      </c>
      <c r="E209">
        <v>80</v>
      </c>
      <c r="F209" s="2">
        <v>0.03</v>
      </c>
    </row>
    <row r="210" spans="1:6" x14ac:dyDescent="0.3">
      <c r="A210" s="1">
        <v>43299</v>
      </c>
      <c r="B210" t="s">
        <v>7</v>
      </c>
      <c r="C210" t="s">
        <v>15</v>
      </c>
      <c r="D210">
        <v>22</v>
      </c>
      <c r="E210">
        <v>150</v>
      </c>
      <c r="F210" s="2">
        <v>0.09</v>
      </c>
    </row>
    <row r="211" spans="1:6" x14ac:dyDescent="0.3">
      <c r="A211" s="1">
        <v>43299</v>
      </c>
      <c r="B211" t="s">
        <v>7</v>
      </c>
      <c r="C211" t="s">
        <v>14</v>
      </c>
      <c r="D211">
        <v>4</v>
      </c>
      <c r="E211">
        <v>150</v>
      </c>
      <c r="F211" s="2">
        <v>0.12</v>
      </c>
    </row>
    <row r="212" spans="1:6" x14ac:dyDescent="0.3">
      <c r="A212" s="1">
        <v>43299</v>
      </c>
      <c r="B212" t="s">
        <v>6</v>
      </c>
      <c r="C212" t="s">
        <v>13</v>
      </c>
      <c r="D212">
        <v>7</v>
      </c>
      <c r="E212">
        <v>230</v>
      </c>
      <c r="F212" s="2">
        <v>0.05</v>
      </c>
    </row>
    <row r="213" spans="1:6" x14ac:dyDescent="0.3">
      <c r="A213" s="1">
        <v>43299</v>
      </c>
      <c r="B213" t="s">
        <v>7</v>
      </c>
      <c r="C213" t="s">
        <v>14</v>
      </c>
      <c r="D213">
        <v>20</v>
      </c>
      <c r="E213">
        <v>150</v>
      </c>
      <c r="F213" s="2">
        <v>0.1</v>
      </c>
    </row>
    <row r="214" spans="1:6" x14ac:dyDescent="0.3">
      <c r="A214" s="1">
        <v>43299</v>
      </c>
      <c r="B214" t="s">
        <v>6</v>
      </c>
      <c r="C214" t="s">
        <v>14</v>
      </c>
      <c r="D214">
        <v>8</v>
      </c>
      <c r="E214">
        <v>230</v>
      </c>
      <c r="F214" s="2">
        <v>0.05</v>
      </c>
    </row>
    <row r="215" spans="1:6" x14ac:dyDescent="0.3">
      <c r="A215" s="1">
        <v>43300</v>
      </c>
      <c r="B215" t="s">
        <v>8</v>
      </c>
      <c r="C215" t="s">
        <v>14</v>
      </c>
      <c r="D215">
        <v>9</v>
      </c>
      <c r="E215">
        <v>40</v>
      </c>
      <c r="F215" s="2">
        <v>0.06</v>
      </c>
    </row>
    <row r="216" spans="1:6" x14ac:dyDescent="0.3">
      <c r="A216" s="1">
        <v>43300</v>
      </c>
      <c r="B216" t="s">
        <v>6</v>
      </c>
      <c r="C216" t="s">
        <v>14</v>
      </c>
      <c r="D216">
        <v>19</v>
      </c>
      <c r="E216">
        <v>230</v>
      </c>
      <c r="F216" s="2">
        <v>0.06</v>
      </c>
    </row>
    <row r="217" spans="1:6" x14ac:dyDescent="0.3">
      <c r="A217" s="1">
        <v>43300</v>
      </c>
      <c r="B217" t="s">
        <v>8</v>
      </c>
      <c r="C217" t="s">
        <v>14</v>
      </c>
      <c r="D217">
        <v>22</v>
      </c>
      <c r="E217">
        <v>40</v>
      </c>
      <c r="F217" s="2">
        <v>0.01</v>
      </c>
    </row>
    <row r="218" spans="1:6" x14ac:dyDescent="0.3">
      <c r="A218" s="1">
        <v>43300</v>
      </c>
      <c r="B218" t="s">
        <v>8</v>
      </c>
      <c r="C218" t="s">
        <v>11</v>
      </c>
      <c r="D218">
        <v>22</v>
      </c>
      <c r="E218">
        <v>40</v>
      </c>
      <c r="F218" s="2">
        <v>0.02</v>
      </c>
    </row>
    <row r="219" spans="1:6" x14ac:dyDescent="0.3">
      <c r="A219" s="1">
        <v>43300</v>
      </c>
      <c r="B219" t="s">
        <v>10</v>
      </c>
      <c r="C219" t="s">
        <v>13</v>
      </c>
      <c r="D219">
        <v>10</v>
      </c>
      <c r="E219">
        <v>80</v>
      </c>
      <c r="F219" s="2">
        <v>0.06</v>
      </c>
    </row>
    <row r="220" spans="1:6" x14ac:dyDescent="0.3">
      <c r="A220" s="1">
        <v>43300</v>
      </c>
      <c r="B220" t="s">
        <v>8</v>
      </c>
      <c r="C220" t="s">
        <v>14</v>
      </c>
      <c r="D220">
        <v>7</v>
      </c>
      <c r="E220">
        <v>40</v>
      </c>
      <c r="F220" s="2">
        <v>0.11</v>
      </c>
    </row>
    <row r="221" spans="1:6" x14ac:dyDescent="0.3">
      <c r="A221" s="1">
        <v>43300</v>
      </c>
      <c r="B221" t="s">
        <v>6</v>
      </c>
      <c r="C221" t="s">
        <v>11</v>
      </c>
      <c r="D221">
        <v>7</v>
      </c>
      <c r="E221">
        <v>230</v>
      </c>
      <c r="F221" s="2">
        <v>0.08</v>
      </c>
    </row>
    <row r="222" spans="1:6" x14ac:dyDescent="0.3">
      <c r="A222" s="1">
        <v>43300</v>
      </c>
      <c r="B222" t="s">
        <v>9</v>
      </c>
      <c r="C222" t="s">
        <v>11</v>
      </c>
      <c r="D222">
        <v>18</v>
      </c>
      <c r="E222">
        <v>16</v>
      </c>
      <c r="F222" s="2">
        <v>0.11</v>
      </c>
    </row>
    <row r="223" spans="1:6" x14ac:dyDescent="0.3">
      <c r="A223" s="1">
        <v>43300</v>
      </c>
      <c r="B223" t="s">
        <v>6</v>
      </c>
      <c r="C223" t="s">
        <v>15</v>
      </c>
      <c r="D223">
        <v>14</v>
      </c>
      <c r="E223">
        <v>230</v>
      </c>
      <c r="F223" s="2">
        <v>0.12</v>
      </c>
    </row>
    <row r="224" spans="1:6" x14ac:dyDescent="0.3">
      <c r="A224" s="1">
        <v>43300</v>
      </c>
      <c r="B224" t="s">
        <v>8</v>
      </c>
      <c r="C224" t="s">
        <v>12</v>
      </c>
      <c r="D224">
        <v>21</v>
      </c>
      <c r="E224">
        <v>40</v>
      </c>
      <c r="F224" s="2">
        <v>0.03</v>
      </c>
    </row>
    <row r="225" spans="1:6" x14ac:dyDescent="0.3">
      <c r="A225" s="1">
        <v>43300</v>
      </c>
      <c r="B225" t="s">
        <v>7</v>
      </c>
      <c r="C225" t="s">
        <v>11</v>
      </c>
      <c r="D225">
        <v>3</v>
      </c>
      <c r="E225">
        <v>150</v>
      </c>
      <c r="F225" s="2">
        <v>0.03</v>
      </c>
    </row>
    <row r="226" spans="1:6" x14ac:dyDescent="0.3">
      <c r="A226" s="1">
        <v>43300</v>
      </c>
      <c r="B226" t="s">
        <v>10</v>
      </c>
      <c r="C226" t="s">
        <v>11</v>
      </c>
      <c r="D226">
        <v>12</v>
      </c>
      <c r="E226">
        <v>80</v>
      </c>
      <c r="F226" s="2">
        <v>0.04</v>
      </c>
    </row>
    <row r="227" spans="1:6" x14ac:dyDescent="0.3">
      <c r="A227" s="1">
        <v>43301</v>
      </c>
      <c r="B227" t="s">
        <v>7</v>
      </c>
      <c r="C227" t="s">
        <v>14</v>
      </c>
      <c r="D227">
        <v>6</v>
      </c>
      <c r="E227">
        <v>150</v>
      </c>
      <c r="F227" s="2">
        <v>0.03</v>
      </c>
    </row>
    <row r="228" spans="1:6" x14ac:dyDescent="0.3">
      <c r="A228" s="1">
        <v>43301</v>
      </c>
      <c r="B228" t="s">
        <v>8</v>
      </c>
      <c r="C228" t="s">
        <v>15</v>
      </c>
      <c r="D228">
        <v>20</v>
      </c>
      <c r="E228">
        <v>40</v>
      </c>
      <c r="F228" s="2">
        <v>0.01</v>
      </c>
    </row>
    <row r="229" spans="1:6" x14ac:dyDescent="0.3">
      <c r="A229" s="1">
        <v>43301</v>
      </c>
      <c r="B229" t="s">
        <v>6</v>
      </c>
      <c r="C229" t="s">
        <v>11</v>
      </c>
      <c r="D229">
        <v>3</v>
      </c>
      <c r="E229">
        <v>230</v>
      </c>
      <c r="F229" s="2">
        <v>0.06</v>
      </c>
    </row>
    <row r="230" spans="1:6" x14ac:dyDescent="0.3">
      <c r="A230" s="1">
        <v>43301</v>
      </c>
      <c r="B230" t="s">
        <v>6</v>
      </c>
      <c r="C230" t="s">
        <v>14</v>
      </c>
      <c r="D230">
        <v>3</v>
      </c>
      <c r="E230">
        <v>230</v>
      </c>
      <c r="F230" s="2">
        <v>0.01</v>
      </c>
    </row>
    <row r="231" spans="1:6" x14ac:dyDescent="0.3">
      <c r="A231" s="1">
        <v>43301</v>
      </c>
      <c r="B231" t="s">
        <v>8</v>
      </c>
      <c r="C231" t="s">
        <v>11</v>
      </c>
      <c r="D231">
        <v>20</v>
      </c>
      <c r="E231">
        <v>40</v>
      </c>
      <c r="F231" s="2">
        <v>0.04</v>
      </c>
    </row>
    <row r="232" spans="1:6" x14ac:dyDescent="0.3">
      <c r="A232" s="1">
        <v>43301</v>
      </c>
      <c r="B232" t="s">
        <v>10</v>
      </c>
      <c r="C232" t="s">
        <v>15</v>
      </c>
      <c r="D232">
        <v>16</v>
      </c>
      <c r="E232">
        <v>80</v>
      </c>
      <c r="F232" s="2">
        <v>0.02</v>
      </c>
    </row>
    <row r="233" spans="1:6" x14ac:dyDescent="0.3">
      <c r="A233" s="1">
        <v>43301</v>
      </c>
      <c r="B233" t="s">
        <v>7</v>
      </c>
      <c r="C233" t="s">
        <v>11</v>
      </c>
      <c r="D233">
        <v>8</v>
      </c>
      <c r="E233">
        <v>150</v>
      </c>
      <c r="F233" s="2">
        <v>0.09</v>
      </c>
    </row>
    <row r="234" spans="1:6" x14ac:dyDescent="0.3">
      <c r="A234" s="1">
        <v>43302</v>
      </c>
      <c r="B234" t="s">
        <v>6</v>
      </c>
      <c r="C234" t="s">
        <v>12</v>
      </c>
      <c r="D234">
        <v>7</v>
      </c>
      <c r="E234">
        <v>230</v>
      </c>
      <c r="F234" s="2">
        <v>0.01</v>
      </c>
    </row>
    <row r="235" spans="1:6" x14ac:dyDescent="0.3">
      <c r="A235" s="1">
        <v>43302</v>
      </c>
      <c r="B235" t="s">
        <v>7</v>
      </c>
      <c r="C235" t="s">
        <v>12</v>
      </c>
      <c r="D235">
        <v>23</v>
      </c>
      <c r="E235">
        <v>150</v>
      </c>
      <c r="F235" s="2">
        <v>0.11</v>
      </c>
    </row>
    <row r="236" spans="1:6" x14ac:dyDescent="0.3">
      <c r="A236" s="1">
        <v>43302</v>
      </c>
      <c r="B236" t="s">
        <v>8</v>
      </c>
      <c r="C236" t="s">
        <v>13</v>
      </c>
      <c r="D236">
        <v>16</v>
      </c>
      <c r="E236">
        <v>40</v>
      </c>
      <c r="F236" s="2">
        <v>0.09</v>
      </c>
    </row>
    <row r="237" spans="1:6" x14ac:dyDescent="0.3">
      <c r="A237" s="1">
        <v>43302</v>
      </c>
      <c r="B237" t="s">
        <v>8</v>
      </c>
      <c r="C237" t="s">
        <v>13</v>
      </c>
      <c r="D237">
        <v>20</v>
      </c>
      <c r="E237">
        <v>40</v>
      </c>
      <c r="F237" s="2">
        <v>0.1</v>
      </c>
    </row>
    <row r="238" spans="1:6" x14ac:dyDescent="0.3">
      <c r="A238" s="1">
        <v>43302</v>
      </c>
      <c r="B238" t="s">
        <v>8</v>
      </c>
      <c r="C238" t="s">
        <v>12</v>
      </c>
      <c r="D238">
        <v>18</v>
      </c>
      <c r="E238">
        <v>40</v>
      </c>
      <c r="F238" s="2">
        <v>0.08</v>
      </c>
    </row>
    <row r="239" spans="1:6" x14ac:dyDescent="0.3">
      <c r="A239" s="1">
        <v>43302</v>
      </c>
      <c r="B239" t="s">
        <v>10</v>
      </c>
      <c r="C239" t="s">
        <v>13</v>
      </c>
      <c r="D239">
        <v>22</v>
      </c>
      <c r="E239">
        <v>80</v>
      </c>
      <c r="F239" s="2">
        <v>0.09</v>
      </c>
    </row>
    <row r="240" spans="1:6" x14ac:dyDescent="0.3">
      <c r="A240" s="1">
        <v>43302</v>
      </c>
      <c r="B240" t="s">
        <v>7</v>
      </c>
      <c r="C240" t="s">
        <v>12</v>
      </c>
      <c r="D240">
        <v>22</v>
      </c>
      <c r="E240">
        <v>150</v>
      </c>
      <c r="F240" s="2">
        <v>0.02</v>
      </c>
    </row>
    <row r="241" spans="1:6" x14ac:dyDescent="0.3">
      <c r="A241" s="1">
        <v>43302</v>
      </c>
      <c r="B241" t="s">
        <v>7</v>
      </c>
      <c r="C241" t="s">
        <v>12</v>
      </c>
      <c r="D241">
        <v>20</v>
      </c>
      <c r="E241">
        <v>150</v>
      </c>
      <c r="F241" s="2">
        <v>0.09</v>
      </c>
    </row>
    <row r="242" spans="1:6" x14ac:dyDescent="0.3">
      <c r="A242" s="1">
        <v>43302</v>
      </c>
      <c r="B242" t="s">
        <v>9</v>
      </c>
      <c r="C242" t="s">
        <v>11</v>
      </c>
      <c r="D242">
        <v>10</v>
      </c>
      <c r="E242">
        <v>16</v>
      </c>
      <c r="F242" s="2">
        <v>0.08</v>
      </c>
    </row>
    <row r="243" spans="1:6" x14ac:dyDescent="0.3">
      <c r="A243" s="1">
        <v>43302</v>
      </c>
      <c r="B243" t="s">
        <v>8</v>
      </c>
      <c r="C243" t="s">
        <v>15</v>
      </c>
      <c r="D243">
        <v>12</v>
      </c>
      <c r="E243">
        <v>40</v>
      </c>
      <c r="F243" s="2">
        <v>0.02</v>
      </c>
    </row>
    <row r="244" spans="1:6" x14ac:dyDescent="0.3">
      <c r="A244" s="1">
        <v>43302</v>
      </c>
      <c r="B244" t="s">
        <v>7</v>
      </c>
      <c r="C244" t="s">
        <v>11</v>
      </c>
      <c r="D244">
        <v>4</v>
      </c>
      <c r="E244">
        <v>150</v>
      </c>
      <c r="F244" s="2">
        <v>0.1</v>
      </c>
    </row>
    <row r="245" spans="1:6" x14ac:dyDescent="0.3">
      <c r="A245" s="1">
        <v>43302</v>
      </c>
      <c r="B245" t="s">
        <v>10</v>
      </c>
      <c r="C245" t="s">
        <v>15</v>
      </c>
      <c r="D245">
        <v>5</v>
      </c>
      <c r="E245">
        <v>80</v>
      </c>
      <c r="F245" s="2">
        <v>0.09</v>
      </c>
    </row>
    <row r="246" spans="1:6" x14ac:dyDescent="0.3">
      <c r="A246" s="1">
        <v>43302</v>
      </c>
      <c r="B246" t="s">
        <v>8</v>
      </c>
      <c r="C246" t="s">
        <v>11</v>
      </c>
      <c r="D246">
        <v>11</v>
      </c>
      <c r="E246">
        <v>40</v>
      </c>
      <c r="F246" s="2">
        <v>0.04</v>
      </c>
    </row>
    <row r="247" spans="1:6" x14ac:dyDescent="0.3">
      <c r="A247" s="1">
        <v>43302</v>
      </c>
      <c r="B247" t="s">
        <v>7</v>
      </c>
      <c r="C247" t="s">
        <v>12</v>
      </c>
      <c r="D247">
        <v>13</v>
      </c>
      <c r="E247">
        <v>150</v>
      </c>
      <c r="F247" s="2">
        <v>0.08</v>
      </c>
    </row>
    <row r="248" spans="1:6" x14ac:dyDescent="0.3">
      <c r="A248" s="1">
        <v>43302</v>
      </c>
      <c r="B248" t="s">
        <v>10</v>
      </c>
      <c r="C248" t="s">
        <v>14</v>
      </c>
      <c r="D248">
        <v>19</v>
      </c>
      <c r="E248">
        <v>80</v>
      </c>
      <c r="F248" s="2">
        <v>0.02</v>
      </c>
    </row>
    <row r="249" spans="1:6" x14ac:dyDescent="0.3">
      <c r="A249" s="1">
        <v>43302</v>
      </c>
      <c r="B249" t="s">
        <v>6</v>
      </c>
      <c r="C249" t="s">
        <v>12</v>
      </c>
      <c r="D249">
        <v>7</v>
      </c>
      <c r="E249">
        <v>230</v>
      </c>
      <c r="F249" s="2">
        <v>0.01</v>
      </c>
    </row>
    <row r="250" spans="1:6" x14ac:dyDescent="0.3">
      <c r="A250" s="1">
        <v>43303</v>
      </c>
      <c r="B250" t="s">
        <v>10</v>
      </c>
      <c r="C250" t="s">
        <v>13</v>
      </c>
      <c r="D250">
        <v>16</v>
      </c>
      <c r="E250">
        <v>80</v>
      </c>
      <c r="F250" s="2">
        <v>0.09</v>
      </c>
    </row>
    <row r="251" spans="1:6" x14ac:dyDescent="0.3">
      <c r="A251" s="1">
        <v>43303</v>
      </c>
      <c r="B251" t="s">
        <v>6</v>
      </c>
      <c r="C251" t="s">
        <v>11</v>
      </c>
      <c r="D251">
        <v>7</v>
      </c>
      <c r="E251">
        <v>230</v>
      </c>
      <c r="F251" s="2">
        <v>0.02</v>
      </c>
    </row>
    <row r="252" spans="1:6" x14ac:dyDescent="0.3">
      <c r="A252" s="1">
        <v>43303</v>
      </c>
      <c r="B252" t="s">
        <v>8</v>
      </c>
      <c r="C252" t="s">
        <v>11</v>
      </c>
      <c r="D252">
        <v>5</v>
      </c>
      <c r="E252">
        <v>40</v>
      </c>
      <c r="F252" s="2">
        <v>0.06</v>
      </c>
    </row>
    <row r="253" spans="1:6" x14ac:dyDescent="0.3">
      <c r="A253" s="1">
        <v>43303</v>
      </c>
      <c r="B253" t="s">
        <v>7</v>
      </c>
      <c r="C253" t="s">
        <v>15</v>
      </c>
      <c r="D253">
        <v>9</v>
      </c>
      <c r="E253">
        <v>150</v>
      </c>
      <c r="F253" s="2">
        <v>0.06</v>
      </c>
    </row>
    <row r="254" spans="1:6" x14ac:dyDescent="0.3">
      <c r="A254" s="1">
        <v>43303</v>
      </c>
      <c r="B254" t="s">
        <v>8</v>
      </c>
      <c r="C254" t="s">
        <v>13</v>
      </c>
      <c r="D254">
        <v>20</v>
      </c>
      <c r="E254">
        <v>40</v>
      </c>
      <c r="F254" s="2">
        <v>7.0000000000000007E-2</v>
      </c>
    </row>
    <row r="255" spans="1:6" x14ac:dyDescent="0.3">
      <c r="A255" s="1">
        <v>43303</v>
      </c>
      <c r="B255" t="s">
        <v>9</v>
      </c>
      <c r="C255" t="s">
        <v>12</v>
      </c>
      <c r="D255">
        <v>20</v>
      </c>
      <c r="E255">
        <v>16</v>
      </c>
      <c r="F255" s="2">
        <v>0.06</v>
      </c>
    </row>
    <row r="256" spans="1:6" x14ac:dyDescent="0.3">
      <c r="A256" s="1">
        <v>43303</v>
      </c>
      <c r="B256" t="s">
        <v>8</v>
      </c>
      <c r="C256" t="s">
        <v>13</v>
      </c>
      <c r="D256">
        <v>5</v>
      </c>
      <c r="E256">
        <v>40</v>
      </c>
      <c r="F256" s="2">
        <v>0.03</v>
      </c>
    </row>
    <row r="257" spans="1:6" x14ac:dyDescent="0.3">
      <c r="A257" s="1">
        <v>43304</v>
      </c>
      <c r="B257" t="s">
        <v>10</v>
      </c>
      <c r="C257" t="s">
        <v>14</v>
      </c>
      <c r="D257">
        <v>7</v>
      </c>
      <c r="E257">
        <v>80</v>
      </c>
      <c r="F257" s="2">
        <v>7.0000000000000007E-2</v>
      </c>
    </row>
    <row r="258" spans="1:6" x14ac:dyDescent="0.3">
      <c r="A258" s="1">
        <v>43304</v>
      </c>
      <c r="B258" t="s">
        <v>9</v>
      </c>
      <c r="C258" t="s">
        <v>13</v>
      </c>
      <c r="D258">
        <v>22</v>
      </c>
      <c r="E258">
        <v>16</v>
      </c>
      <c r="F258" s="2">
        <v>0.12</v>
      </c>
    </row>
    <row r="259" spans="1:6" x14ac:dyDescent="0.3">
      <c r="A259" s="1">
        <v>43304</v>
      </c>
      <c r="B259" t="s">
        <v>9</v>
      </c>
      <c r="C259" t="s">
        <v>13</v>
      </c>
      <c r="D259">
        <v>11</v>
      </c>
      <c r="E259">
        <v>16</v>
      </c>
      <c r="F259" s="2">
        <v>0.12</v>
      </c>
    </row>
    <row r="260" spans="1:6" x14ac:dyDescent="0.3">
      <c r="A260" s="1">
        <v>43304</v>
      </c>
      <c r="B260" t="s">
        <v>6</v>
      </c>
      <c r="C260" t="s">
        <v>14</v>
      </c>
      <c r="D260">
        <v>17</v>
      </c>
      <c r="E260">
        <v>230</v>
      </c>
      <c r="F260" s="2">
        <v>0.12</v>
      </c>
    </row>
    <row r="261" spans="1:6" x14ac:dyDescent="0.3">
      <c r="A261" s="1">
        <v>43304</v>
      </c>
      <c r="B261" t="s">
        <v>10</v>
      </c>
      <c r="C261" t="s">
        <v>11</v>
      </c>
      <c r="D261">
        <v>7</v>
      </c>
      <c r="E261">
        <v>80</v>
      </c>
      <c r="F261" s="2">
        <v>0.02</v>
      </c>
    </row>
    <row r="262" spans="1:6" x14ac:dyDescent="0.3">
      <c r="A262" s="1">
        <v>43304</v>
      </c>
      <c r="B262" t="s">
        <v>9</v>
      </c>
      <c r="C262" t="s">
        <v>12</v>
      </c>
      <c r="D262">
        <v>5</v>
      </c>
      <c r="E262">
        <v>16</v>
      </c>
      <c r="F262" s="2">
        <v>0.11</v>
      </c>
    </row>
    <row r="263" spans="1:6" x14ac:dyDescent="0.3">
      <c r="A263" s="1">
        <v>43304</v>
      </c>
      <c r="B263" t="s">
        <v>7</v>
      </c>
      <c r="C263" t="s">
        <v>13</v>
      </c>
      <c r="D263">
        <v>18</v>
      </c>
      <c r="E263">
        <v>150</v>
      </c>
      <c r="F263" s="2">
        <v>0.12</v>
      </c>
    </row>
    <row r="264" spans="1:6" x14ac:dyDescent="0.3">
      <c r="A264" s="1">
        <v>43304</v>
      </c>
      <c r="B264" t="s">
        <v>8</v>
      </c>
      <c r="C264" t="s">
        <v>13</v>
      </c>
      <c r="D264">
        <v>10</v>
      </c>
      <c r="E264">
        <v>40</v>
      </c>
      <c r="F264" s="2">
        <v>0.03</v>
      </c>
    </row>
    <row r="265" spans="1:6" x14ac:dyDescent="0.3">
      <c r="A265" s="1">
        <v>43304</v>
      </c>
      <c r="B265" t="s">
        <v>8</v>
      </c>
      <c r="C265" t="s">
        <v>13</v>
      </c>
      <c r="D265">
        <v>14</v>
      </c>
      <c r="E265">
        <v>40</v>
      </c>
      <c r="F265" s="2">
        <v>0.11</v>
      </c>
    </row>
    <row r="266" spans="1:6" x14ac:dyDescent="0.3">
      <c r="A266" s="1">
        <v>43304</v>
      </c>
      <c r="B266" t="s">
        <v>8</v>
      </c>
      <c r="C266" t="s">
        <v>13</v>
      </c>
      <c r="D266">
        <v>16</v>
      </c>
      <c r="E266">
        <v>40</v>
      </c>
      <c r="F266" s="2">
        <v>0.09</v>
      </c>
    </row>
    <row r="267" spans="1:6" x14ac:dyDescent="0.3">
      <c r="A267" s="1">
        <v>43305</v>
      </c>
      <c r="B267" t="s">
        <v>8</v>
      </c>
      <c r="C267" t="s">
        <v>14</v>
      </c>
      <c r="D267">
        <v>23</v>
      </c>
      <c r="E267">
        <v>40</v>
      </c>
      <c r="F267" s="2">
        <v>0.06</v>
      </c>
    </row>
    <row r="268" spans="1:6" x14ac:dyDescent="0.3">
      <c r="A268" s="1">
        <v>43305</v>
      </c>
      <c r="B268" t="s">
        <v>6</v>
      </c>
      <c r="C268" t="s">
        <v>14</v>
      </c>
      <c r="D268">
        <v>8</v>
      </c>
      <c r="E268">
        <v>230</v>
      </c>
      <c r="F268" s="2">
        <v>0.05</v>
      </c>
    </row>
    <row r="269" spans="1:6" x14ac:dyDescent="0.3">
      <c r="A269" s="1">
        <v>43305</v>
      </c>
      <c r="B269" t="s">
        <v>9</v>
      </c>
      <c r="C269" t="s">
        <v>14</v>
      </c>
      <c r="D269">
        <v>14</v>
      </c>
      <c r="E269">
        <v>16</v>
      </c>
      <c r="F269" s="2">
        <v>0.12</v>
      </c>
    </row>
    <row r="270" spans="1:6" x14ac:dyDescent="0.3">
      <c r="A270" s="1">
        <v>43305</v>
      </c>
      <c r="B270" t="s">
        <v>10</v>
      </c>
      <c r="C270" t="s">
        <v>11</v>
      </c>
      <c r="D270">
        <v>17</v>
      </c>
      <c r="E270">
        <v>80</v>
      </c>
      <c r="F270" s="2">
        <v>0.09</v>
      </c>
    </row>
    <row r="271" spans="1:6" x14ac:dyDescent="0.3">
      <c r="A271" s="1">
        <v>43305</v>
      </c>
      <c r="B271" t="s">
        <v>7</v>
      </c>
      <c r="C271" t="s">
        <v>15</v>
      </c>
      <c r="D271">
        <v>11</v>
      </c>
      <c r="E271">
        <v>150</v>
      </c>
      <c r="F271" s="2">
        <v>0.11</v>
      </c>
    </row>
    <row r="272" spans="1:6" x14ac:dyDescent="0.3">
      <c r="A272" s="1">
        <v>43305</v>
      </c>
      <c r="B272" t="s">
        <v>8</v>
      </c>
      <c r="C272" t="s">
        <v>14</v>
      </c>
      <c r="D272">
        <v>15</v>
      </c>
      <c r="E272">
        <v>40</v>
      </c>
      <c r="F272" s="2">
        <v>0.03</v>
      </c>
    </row>
    <row r="273" spans="1:6" x14ac:dyDescent="0.3">
      <c r="A273" s="1">
        <v>43305</v>
      </c>
      <c r="B273" t="s">
        <v>10</v>
      </c>
      <c r="C273" t="s">
        <v>13</v>
      </c>
      <c r="D273">
        <v>9</v>
      </c>
      <c r="E273">
        <v>80</v>
      </c>
      <c r="F273" s="2">
        <v>7.0000000000000007E-2</v>
      </c>
    </row>
    <row r="274" spans="1:6" x14ac:dyDescent="0.3">
      <c r="A274" s="1">
        <v>43305</v>
      </c>
      <c r="B274" t="s">
        <v>6</v>
      </c>
      <c r="C274" t="s">
        <v>12</v>
      </c>
      <c r="D274">
        <v>22</v>
      </c>
      <c r="E274">
        <v>230</v>
      </c>
      <c r="F274" s="2">
        <v>0.04</v>
      </c>
    </row>
    <row r="275" spans="1:6" x14ac:dyDescent="0.3">
      <c r="A275" s="1">
        <v>43305</v>
      </c>
      <c r="B275" t="s">
        <v>6</v>
      </c>
      <c r="C275" t="s">
        <v>12</v>
      </c>
      <c r="D275">
        <v>11</v>
      </c>
      <c r="E275">
        <v>230</v>
      </c>
      <c r="F275" s="2">
        <v>0.1</v>
      </c>
    </row>
    <row r="276" spans="1:6" x14ac:dyDescent="0.3">
      <c r="A276" s="1">
        <v>43305</v>
      </c>
      <c r="B276" t="s">
        <v>8</v>
      </c>
      <c r="C276" t="s">
        <v>15</v>
      </c>
      <c r="D276">
        <v>11</v>
      </c>
      <c r="E276">
        <v>40</v>
      </c>
      <c r="F276" s="2">
        <v>0.12</v>
      </c>
    </row>
    <row r="277" spans="1:6" x14ac:dyDescent="0.3">
      <c r="A277" s="1">
        <v>43305</v>
      </c>
      <c r="B277" t="s">
        <v>8</v>
      </c>
      <c r="C277" t="s">
        <v>14</v>
      </c>
      <c r="D277">
        <v>9</v>
      </c>
      <c r="E277">
        <v>40</v>
      </c>
      <c r="F277" s="2">
        <v>0.06</v>
      </c>
    </row>
    <row r="278" spans="1:6" x14ac:dyDescent="0.3">
      <c r="A278" s="1">
        <v>43306</v>
      </c>
      <c r="B278" t="s">
        <v>8</v>
      </c>
      <c r="C278" t="s">
        <v>14</v>
      </c>
      <c r="D278">
        <v>13</v>
      </c>
      <c r="E278">
        <v>40</v>
      </c>
      <c r="F278" s="2">
        <v>0.09</v>
      </c>
    </row>
    <row r="279" spans="1:6" x14ac:dyDescent="0.3">
      <c r="A279" s="1">
        <v>43306</v>
      </c>
      <c r="B279" t="s">
        <v>8</v>
      </c>
      <c r="C279" t="s">
        <v>12</v>
      </c>
      <c r="D279">
        <v>4</v>
      </c>
      <c r="E279">
        <v>40</v>
      </c>
      <c r="F279" s="2">
        <v>0.12</v>
      </c>
    </row>
    <row r="280" spans="1:6" x14ac:dyDescent="0.3">
      <c r="A280" s="1">
        <v>43306</v>
      </c>
      <c r="B280" t="s">
        <v>7</v>
      </c>
      <c r="C280" t="s">
        <v>11</v>
      </c>
      <c r="D280">
        <v>22</v>
      </c>
      <c r="E280">
        <v>150</v>
      </c>
      <c r="F280" s="2">
        <v>0.05</v>
      </c>
    </row>
    <row r="281" spans="1:6" x14ac:dyDescent="0.3">
      <c r="A281" s="1">
        <v>43306</v>
      </c>
      <c r="B281" t="s">
        <v>8</v>
      </c>
      <c r="C281" t="s">
        <v>13</v>
      </c>
      <c r="D281">
        <v>21</v>
      </c>
      <c r="E281">
        <v>40</v>
      </c>
      <c r="F281" s="2">
        <v>0.01</v>
      </c>
    </row>
    <row r="282" spans="1:6" x14ac:dyDescent="0.3">
      <c r="A282" s="1">
        <v>43306</v>
      </c>
      <c r="B282" t="s">
        <v>9</v>
      </c>
      <c r="C282" t="s">
        <v>11</v>
      </c>
      <c r="D282">
        <v>16</v>
      </c>
      <c r="E282">
        <v>16</v>
      </c>
      <c r="F282" s="2">
        <v>0.03</v>
      </c>
    </row>
    <row r="283" spans="1:6" x14ac:dyDescent="0.3">
      <c r="A283" s="1">
        <v>43306</v>
      </c>
      <c r="B283" t="s">
        <v>10</v>
      </c>
      <c r="C283" t="s">
        <v>14</v>
      </c>
      <c r="D283">
        <v>16</v>
      </c>
      <c r="E283">
        <v>80</v>
      </c>
      <c r="F283" s="2">
        <v>7.0000000000000007E-2</v>
      </c>
    </row>
    <row r="284" spans="1:6" x14ac:dyDescent="0.3">
      <c r="A284" s="1">
        <v>43306</v>
      </c>
      <c r="B284" t="s">
        <v>10</v>
      </c>
      <c r="C284" t="s">
        <v>12</v>
      </c>
      <c r="D284">
        <v>15</v>
      </c>
      <c r="E284">
        <v>80</v>
      </c>
      <c r="F284" s="2">
        <v>0.12</v>
      </c>
    </row>
    <row r="285" spans="1:6" x14ac:dyDescent="0.3">
      <c r="A285" s="1">
        <v>43306</v>
      </c>
      <c r="B285" t="s">
        <v>7</v>
      </c>
      <c r="C285" t="s">
        <v>11</v>
      </c>
      <c r="D285">
        <v>20</v>
      </c>
      <c r="E285">
        <v>150</v>
      </c>
      <c r="F285" s="2">
        <v>0.03</v>
      </c>
    </row>
    <row r="286" spans="1:6" x14ac:dyDescent="0.3">
      <c r="A286" s="1">
        <v>43306</v>
      </c>
      <c r="B286" t="s">
        <v>8</v>
      </c>
      <c r="C286" t="s">
        <v>14</v>
      </c>
      <c r="D286">
        <v>13</v>
      </c>
      <c r="E286">
        <v>40</v>
      </c>
      <c r="F286" s="2">
        <v>0.06</v>
      </c>
    </row>
    <row r="287" spans="1:6" x14ac:dyDescent="0.3">
      <c r="A287" s="1">
        <v>43306</v>
      </c>
      <c r="B287" t="s">
        <v>9</v>
      </c>
      <c r="C287" t="s">
        <v>13</v>
      </c>
      <c r="D287">
        <v>3</v>
      </c>
      <c r="E287">
        <v>16</v>
      </c>
      <c r="F287" s="2">
        <v>0.06</v>
      </c>
    </row>
    <row r="288" spans="1:6" x14ac:dyDescent="0.3">
      <c r="A288" s="1">
        <v>43306</v>
      </c>
      <c r="B288" t="s">
        <v>9</v>
      </c>
      <c r="C288" t="s">
        <v>15</v>
      </c>
      <c r="D288">
        <v>11</v>
      </c>
      <c r="E288">
        <v>16</v>
      </c>
      <c r="F288" s="2">
        <v>0.04</v>
      </c>
    </row>
    <row r="289" spans="1:6" x14ac:dyDescent="0.3">
      <c r="A289" s="1">
        <v>43307</v>
      </c>
      <c r="B289" t="s">
        <v>8</v>
      </c>
      <c r="C289" t="s">
        <v>13</v>
      </c>
      <c r="D289">
        <v>16</v>
      </c>
      <c r="E289">
        <v>40</v>
      </c>
      <c r="F289" s="2">
        <v>0.09</v>
      </c>
    </row>
    <row r="290" spans="1:6" x14ac:dyDescent="0.3">
      <c r="A290" s="1">
        <v>43307</v>
      </c>
      <c r="B290" t="s">
        <v>8</v>
      </c>
      <c r="C290" t="s">
        <v>15</v>
      </c>
      <c r="D290">
        <v>4</v>
      </c>
      <c r="E290">
        <v>40</v>
      </c>
      <c r="F290" s="2">
        <v>0.06</v>
      </c>
    </row>
    <row r="291" spans="1:6" x14ac:dyDescent="0.3">
      <c r="A291" s="1">
        <v>43307</v>
      </c>
      <c r="B291" t="s">
        <v>8</v>
      </c>
      <c r="C291" t="s">
        <v>15</v>
      </c>
      <c r="D291">
        <v>20</v>
      </c>
      <c r="E291">
        <v>40</v>
      </c>
      <c r="F291" s="2">
        <v>0.01</v>
      </c>
    </row>
    <row r="292" spans="1:6" x14ac:dyDescent="0.3">
      <c r="A292" s="1">
        <v>43307</v>
      </c>
      <c r="B292" t="s">
        <v>8</v>
      </c>
      <c r="C292" t="s">
        <v>15</v>
      </c>
      <c r="D292">
        <v>4</v>
      </c>
      <c r="E292">
        <v>40</v>
      </c>
      <c r="F292" s="2">
        <v>0.1</v>
      </c>
    </row>
    <row r="293" spans="1:6" x14ac:dyDescent="0.3">
      <c r="A293" s="1">
        <v>43307</v>
      </c>
      <c r="B293" t="s">
        <v>10</v>
      </c>
      <c r="C293" t="s">
        <v>12</v>
      </c>
      <c r="D293">
        <v>14</v>
      </c>
      <c r="E293">
        <v>80</v>
      </c>
      <c r="F293" s="2">
        <v>0.06</v>
      </c>
    </row>
    <row r="294" spans="1:6" x14ac:dyDescent="0.3">
      <c r="A294" s="1">
        <v>43307</v>
      </c>
      <c r="B294" t="s">
        <v>7</v>
      </c>
      <c r="C294" t="s">
        <v>12</v>
      </c>
      <c r="D294">
        <v>15</v>
      </c>
      <c r="E294">
        <v>150</v>
      </c>
      <c r="F294" s="2">
        <v>0.02</v>
      </c>
    </row>
    <row r="295" spans="1:6" x14ac:dyDescent="0.3">
      <c r="A295" s="1">
        <v>43307</v>
      </c>
      <c r="B295" t="s">
        <v>10</v>
      </c>
      <c r="C295" t="s">
        <v>15</v>
      </c>
      <c r="D295">
        <v>14</v>
      </c>
      <c r="E295">
        <v>80</v>
      </c>
      <c r="F295" s="2">
        <v>0.1</v>
      </c>
    </row>
    <row r="296" spans="1:6" x14ac:dyDescent="0.3">
      <c r="A296" s="1">
        <v>43307</v>
      </c>
      <c r="B296" t="s">
        <v>7</v>
      </c>
      <c r="C296" t="s">
        <v>11</v>
      </c>
      <c r="D296">
        <v>20</v>
      </c>
      <c r="E296">
        <v>150</v>
      </c>
      <c r="F296" s="2">
        <v>0.04</v>
      </c>
    </row>
    <row r="297" spans="1:6" x14ac:dyDescent="0.3">
      <c r="A297" s="1">
        <v>43307</v>
      </c>
      <c r="B297" t="s">
        <v>10</v>
      </c>
      <c r="C297" t="s">
        <v>13</v>
      </c>
      <c r="D297">
        <v>22</v>
      </c>
      <c r="E297">
        <v>80</v>
      </c>
      <c r="F297" s="2">
        <v>0.1</v>
      </c>
    </row>
    <row r="298" spans="1:6" x14ac:dyDescent="0.3">
      <c r="A298" s="1">
        <v>43307</v>
      </c>
      <c r="B298" t="s">
        <v>6</v>
      </c>
      <c r="C298" t="s">
        <v>13</v>
      </c>
      <c r="D298">
        <v>20</v>
      </c>
      <c r="E298">
        <v>230</v>
      </c>
      <c r="F298" s="2">
        <v>0.09</v>
      </c>
    </row>
    <row r="299" spans="1:6" x14ac:dyDescent="0.3">
      <c r="A299" s="1">
        <v>43307</v>
      </c>
      <c r="B299" t="s">
        <v>6</v>
      </c>
      <c r="C299" t="s">
        <v>15</v>
      </c>
      <c r="D299">
        <v>12</v>
      </c>
      <c r="E299">
        <v>230</v>
      </c>
      <c r="F299" s="2">
        <v>0.03</v>
      </c>
    </row>
    <row r="300" spans="1:6" x14ac:dyDescent="0.3">
      <c r="A300" s="1">
        <v>43308</v>
      </c>
      <c r="B300" t="s">
        <v>10</v>
      </c>
      <c r="C300" t="s">
        <v>11</v>
      </c>
      <c r="D300">
        <v>21</v>
      </c>
      <c r="E300">
        <v>80</v>
      </c>
      <c r="F300" s="2">
        <v>0.04</v>
      </c>
    </row>
    <row r="301" spans="1:6" x14ac:dyDescent="0.3">
      <c r="A301" s="1">
        <v>43308</v>
      </c>
      <c r="B301" t="s">
        <v>8</v>
      </c>
      <c r="C301" t="s">
        <v>12</v>
      </c>
      <c r="D301">
        <v>15</v>
      </c>
      <c r="E301">
        <v>40</v>
      </c>
      <c r="F301" s="2">
        <v>0.04</v>
      </c>
    </row>
    <row r="302" spans="1:6" x14ac:dyDescent="0.3">
      <c r="A302" s="1">
        <v>43308</v>
      </c>
      <c r="B302" t="s">
        <v>10</v>
      </c>
      <c r="C302" t="s">
        <v>14</v>
      </c>
      <c r="D302">
        <v>16</v>
      </c>
      <c r="E302">
        <v>80</v>
      </c>
      <c r="F302" s="2">
        <v>0.1</v>
      </c>
    </row>
    <row r="303" spans="1:6" x14ac:dyDescent="0.3">
      <c r="A303" s="1">
        <v>43308</v>
      </c>
      <c r="B303" t="s">
        <v>6</v>
      </c>
      <c r="C303" t="s">
        <v>13</v>
      </c>
      <c r="D303">
        <v>17</v>
      </c>
      <c r="E303">
        <v>230</v>
      </c>
      <c r="F303" s="2">
        <v>0.11</v>
      </c>
    </row>
    <row r="304" spans="1:6" x14ac:dyDescent="0.3">
      <c r="A304" s="1">
        <v>43308</v>
      </c>
      <c r="B304" t="s">
        <v>6</v>
      </c>
      <c r="C304" t="s">
        <v>13</v>
      </c>
      <c r="D304">
        <v>5</v>
      </c>
      <c r="E304">
        <v>230</v>
      </c>
      <c r="F304" s="2">
        <v>0.12</v>
      </c>
    </row>
    <row r="305" spans="1:6" x14ac:dyDescent="0.3">
      <c r="A305" s="1">
        <v>43308</v>
      </c>
      <c r="B305" t="s">
        <v>9</v>
      </c>
      <c r="C305" t="s">
        <v>11</v>
      </c>
      <c r="D305">
        <v>20</v>
      </c>
      <c r="E305">
        <v>16</v>
      </c>
      <c r="F305" s="2">
        <v>0.01</v>
      </c>
    </row>
    <row r="306" spans="1:6" x14ac:dyDescent="0.3">
      <c r="A306" s="1">
        <v>43308</v>
      </c>
      <c r="B306" t="s">
        <v>6</v>
      </c>
      <c r="C306" t="s">
        <v>11</v>
      </c>
      <c r="D306">
        <v>5</v>
      </c>
      <c r="E306">
        <v>230</v>
      </c>
      <c r="F306" s="2">
        <v>0.1</v>
      </c>
    </row>
    <row r="307" spans="1:6" x14ac:dyDescent="0.3">
      <c r="A307" s="1">
        <v>43308</v>
      </c>
      <c r="B307" t="s">
        <v>8</v>
      </c>
      <c r="C307" t="s">
        <v>12</v>
      </c>
      <c r="D307">
        <v>8</v>
      </c>
      <c r="E307">
        <v>40</v>
      </c>
      <c r="F307" s="2">
        <v>0.09</v>
      </c>
    </row>
    <row r="308" spans="1:6" x14ac:dyDescent="0.3">
      <c r="A308" s="1">
        <v>43308</v>
      </c>
      <c r="B308" t="s">
        <v>9</v>
      </c>
      <c r="C308" t="s">
        <v>11</v>
      </c>
      <c r="D308">
        <v>7</v>
      </c>
      <c r="E308">
        <v>16</v>
      </c>
      <c r="F308" s="2">
        <v>0.02</v>
      </c>
    </row>
    <row r="309" spans="1:6" x14ac:dyDescent="0.3">
      <c r="A309" s="1">
        <v>43308</v>
      </c>
      <c r="B309" t="s">
        <v>7</v>
      </c>
      <c r="C309" t="s">
        <v>14</v>
      </c>
      <c r="D309">
        <v>15</v>
      </c>
      <c r="E309">
        <v>150</v>
      </c>
      <c r="F309" s="2">
        <v>0.08</v>
      </c>
    </row>
    <row r="310" spans="1:6" x14ac:dyDescent="0.3">
      <c r="A310" s="1">
        <v>43308</v>
      </c>
      <c r="B310" t="s">
        <v>6</v>
      </c>
      <c r="C310" t="s">
        <v>13</v>
      </c>
      <c r="D310">
        <v>20</v>
      </c>
      <c r="E310">
        <v>230</v>
      </c>
      <c r="F310" s="2">
        <v>0.11</v>
      </c>
    </row>
    <row r="311" spans="1:6" x14ac:dyDescent="0.3">
      <c r="A311" s="1">
        <v>43308</v>
      </c>
      <c r="B311" t="s">
        <v>9</v>
      </c>
      <c r="C311" t="s">
        <v>12</v>
      </c>
      <c r="D311">
        <v>4</v>
      </c>
      <c r="E311">
        <v>16</v>
      </c>
      <c r="F311" s="2">
        <v>0.09</v>
      </c>
    </row>
    <row r="312" spans="1:6" x14ac:dyDescent="0.3">
      <c r="A312" s="1">
        <v>43308</v>
      </c>
      <c r="B312" t="s">
        <v>8</v>
      </c>
      <c r="C312" t="s">
        <v>14</v>
      </c>
      <c r="D312">
        <v>11</v>
      </c>
      <c r="E312">
        <v>40</v>
      </c>
      <c r="F312" s="2">
        <v>0.09</v>
      </c>
    </row>
    <row r="313" spans="1:6" x14ac:dyDescent="0.3">
      <c r="A313" s="1">
        <v>43308</v>
      </c>
      <c r="B313" t="s">
        <v>7</v>
      </c>
      <c r="C313" t="s">
        <v>15</v>
      </c>
      <c r="D313">
        <v>15</v>
      </c>
      <c r="E313">
        <v>150</v>
      </c>
      <c r="F313" s="2">
        <v>0.05</v>
      </c>
    </row>
    <row r="314" spans="1:6" x14ac:dyDescent="0.3">
      <c r="A314" s="1">
        <v>43308</v>
      </c>
      <c r="B314" t="s">
        <v>6</v>
      </c>
      <c r="C314" t="s">
        <v>15</v>
      </c>
      <c r="D314">
        <v>5</v>
      </c>
      <c r="E314">
        <v>230</v>
      </c>
      <c r="F314" s="2">
        <v>0.01</v>
      </c>
    </row>
    <row r="315" spans="1:6" x14ac:dyDescent="0.3">
      <c r="A315" s="1">
        <v>43308</v>
      </c>
      <c r="B315" t="s">
        <v>6</v>
      </c>
      <c r="C315" t="s">
        <v>15</v>
      </c>
      <c r="D315">
        <v>14</v>
      </c>
      <c r="E315">
        <v>230</v>
      </c>
      <c r="F315" s="2">
        <v>0.03</v>
      </c>
    </row>
    <row r="316" spans="1:6" x14ac:dyDescent="0.3">
      <c r="A316" s="1">
        <v>43308</v>
      </c>
      <c r="B316" t="s">
        <v>8</v>
      </c>
      <c r="C316" t="s">
        <v>13</v>
      </c>
      <c r="D316">
        <v>23</v>
      </c>
      <c r="E316">
        <v>40</v>
      </c>
      <c r="F316" s="2">
        <v>0.05</v>
      </c>
    </row>
    <row r="317" spans="1:6" x14ac:dyDescent="0.3">
      <c r="A317" s="1">
        <v>43308</v>
      </c>
      <c r="B317" t="s">
        <v>10</v>
      </c>
      <c r="C317" t="s">
        <v>14</v>
      </c>
      <c r="D317">
        <v>22</v>
      </c>
      <c r="E317">
        <v>80</v>
      </c>
      <c r="F317" s="2">
        <v>0.03</v>
      </c>
    </row>
    <row r="318" spans="1:6" x14ac:dyDescent="0.3">
      <c r="A318" s="1">
        <v>43309</v>
      </c>
      <c r="B318" t="s">
        <v>6</v>
      </c>
      <c r="C318" t="s">
        <v>15</v>
      </c>
      <c r="D318">
        <v>20</v>
      </c>
      <c r="E318">
        <v>230</v>
      </c>
      <c r="F318" s="2">
        <v>0.06</v>
      </c>
    </row>
    <row r="319" spans="1:6" x14ac:dyDescent="0.3">
      <c r="A319" s="1">
        <v>43309</v>
      </c>
      <c r="B319" t="s">
        <v>6</v>
      </c>
      <c r="C319" t="s">
        <v>12</v>
      </c>
      <c r="D319">
        <v>15</v>
      </c>
      <c r="E319">
        <v>230</v>
      </c>
      <c r="F319" s="2">
        <v>0.09</v>
      </c>
    </row>
    <row r="320" spans="1:6" x14ac:dyDescent="0.3">
      <c r="A320" s="1">
        <v>43309</v>
      </c>
      <c r="B320" t="s">
        <v>7</v>
      </c>
      <c r="C320" t="s">
        <v>15</v>
      </c>
      <c r="D320">
        <v>18</v>
      </c>
      <c r="E320">
        <v>150</v>
      </c>
      <c r="F320" s="2">
        <v>0.06</v>
      </c>
    </row>
    <row r="321" spans="1:6" x14ac:dyDescent="0.3">
      <c r="A321" s="1">
        <v>43309</v>
      </c>
      <c r="B321" t="s">
        <v>6</v>
      </c>
      <c r="C321" t="s">
        <v>11</v>
      </c>
      <c r="D321">
        <v>3</v>
      </c>
      <c r="E321">
        <v>230</v>
      </c>
      <c r="F321" s="2">
        <v>0.11</v>
      </c>
    </row>
    <row r="322" spans="1:6" x14ac:dyDescent="0.3">
      <c r="A322" s="1">
        <v>43309</v>
      </c>
      <c r="B322" t="s">
        <v>7</v>
      </c>
      <c r="C322" t="s">
        <v>13</v>
      </c>
      <c r="D322">
        <v>11</v>
      </c>
      <c r="E322">
        <v>150</v>
      </c>
      <c r="F322" s="2">
        <v>0.09</v>
      </c>
    </row>
    <row r="323" spans="1:6" x14ac:dyDescent="0.3">
      <c r="A323" s="1">
        <v>43309</v>
      </c>
      <c r="B323" t="s">
        <v>6</v>
      </c>
      <c r="C323" t="s">
        <v>11</v>
      </c>
      <c r="D323">
        <v>11</v>
      </c>
      <c r="E323">
        <v>230</v>
      </c>
      <c r="F323" s="2">
        <v>0.02</v>
      </c>
    </row>
    <row r="324" spans="1:6" x14ac:dyDescent="0.3">
      <c r="A324" s="1">
        <v>43309</v>
      </c>
      <c r="B324" t="s">
        <v>6</v>
      </c>
      <c r="C324" t="s">
        <v>13</v>
      </c>
      <c r="D324">
        <v>13</v>
      </c>
      <c r="E324">
        <v>230</v>
      </c>
      <c r="F324" s="2">
        <v>0.06</v>
      </c>
    </row>
    <row r="325" spans="1:6" x14ac:dyDescent="0.3">
      <c r="A325" s="1">
        <v>43310</v>
      </c>
      <c r="B325" t="s">
        <v>10</v>
      </c>
      <c r="C325" t="s">
        <v>14</v>
      </c>
      <c r="D325">
        <v>11</v>
      </c>
      <c r="E325">
        <v>80</v>
      </c>
      <c r="F325" s="2">
        <v>0.01</v>
      </c>
    </row>
    <row r="326" spans="1:6" x14ac:dyDescent="0.3">
      <c r="A326" s="1">
        <v>43310</v>
      </c>
      <c r="B326" t="s">
        <v>10</v>
      </c>
      <c r="C326" t="s">
        <v>13</v>
      </c>
      <c r="D326">
        <v>17</v>
      </c>
      <c r="E326">
        <v>80</v>
      </c>
      <c r="F326" s="2">
        <v>7.0000000000000007E-2</v>
      </c>
    </row>
    <row r="327" spans="1:6" x14ac:dyDescent="0.3">
      <c r="A327" s="1">
        <v>43310</v>
      </c>
      <c r="B327" t="s">
        <v>7</v>
      </c>
      <c r="C327" t="s">
        <v>13</v>
      </c>
      <c r="D327">
        <v>15</v>
      </c>
      <c r="E327">
        <v>150</v>
      </c>
      <c r="F327" s="2">
        <v>7.0000000000000007E-2</v>
      </c>
    </row>
    <row r="328" spans="1:6" x14ac:dyDescent="0.3">
      <c r="A328" s="1">
        <v>43310</v>
      </c>
      <c r="B328" t="s">
        <v>9</v>
      </c>
      <c r="C328" t="s">
        <v>13</v>
      </c>
      <c r="D328">
        <v>14</v>
      </c>
      <c r="E328">
        <v>16</v>
      </c>
      <c r="F328" s="2">
        <v>0.06</v>
      </c>
    </row>
    <row r="329" spans="1:6" x14ac:dyDescent="0.3">
      <c r="A329" s="1">
        <v>43310</v>
      </c>
      <c r="B329" t="s">
        <v>9</v>
      </c>
      <c r="C329" t="s">
        <v>12</v>
      </c>
      <c r="D329">
        <v>4</v>
      </c>
      <c r="E329">
        <v>16</v>
      </c>
      <c r="F329" s="2">
        <v>7.0000000000000007E-2</v>
      </c>
    </row>
    <row r="330" spans="1:6" x14ac:dyDescent="0.3">
      <c r="A330" s="1">
        <v>43310</v>
      </c>
      <c r="B330" t="s">
        <v>7</v>
      </c>
      <c r="C330" t="s">
        <v>13</v>
      </c>
      <c r="D330">
        <v>23</v>
      </c>
      <c r="E330">
        <v>150</v>
      </c>
      <c r="F330" s="2">
        <v>0.08</v>
      </c>
    </row>
    <row r="331" spans="1:6" x14ac:dyDescent="0.3">
      <c r="A331" s="1">
        <v>43310</v>
      </c>
      <c r="B331" t="s">
        <v>10</v>
      </c>
      <c r="C331" t="s">
        <v>15</v>
      </c>
      <c r="D331">
        <v>10</v>
      </c>
      <c r="E331">
        <v>80</v>
      </c>
      <c r="F331" s="2">
        <v>0.11</v>
      </c>
    </row>
    <row r="332" spans="1:6" x14ac:dyDescent="0.3">
      <c r="A332" s="1">
        <v>43310</v>
      </c>
      <c r="B332" t="s">
        <v>6</v>
      </c>
      <c r="C332" t="s">
        <v>15</v>
      </c>
      <c r="D332">
        <v>7</v>
      </c>
      <c r="E332">
        <v>230</v>
      </c>
      <c r="F332" s="2">
        <v>0.01</v>
      </c>
    </row>
    <row r="333" spans="1:6" x14ac:dyDescent="0.3">
      <c r="A333" s="1">
        <v>43310</v>
      </c>
      <c r="B333" t="s">
        <v>6</v>
      </c>
      <c r="C333" t="s">
        <v>11</v>
      </c>
      <c r="D333">
        <v>16</v>
      </c>
      <c r="E333">
        <v>230</v>
      </c>
      <c r="F333" s="2">
        <v>7.0000000000000007E-2</v>
      </c>
    </row>
    <row r="334" spans="1:6" x14ac:dyDescent="0.3">
      <c r="A334" s="1">
        <v>43310</v>
      </c>
      <c r="B334" t="s">
        <v>9</v>
      </c>
      <c r="C334" t="s">
        <v>13</v>
      </c>
      <c r="D334">
        <v>17</v>
      </c>
      <c r="E334">
        <v>16</v>
      </c>
      <c r="F334" s="2">
        <v>0.08</v>
      </c>
    </row>
    <row r="335" spans="1:6" x14ac:dyDescent="0.3">
      <c r="A335" s="1">
        <v>43311</v>
      </c>
      <c r="B335" t="s">
        <v>10</v>
      </c>
      <c r="C335" t="s">
        <v>13</v>
      </c>
      <c r="D335">
        <v>6</v>
      </c>
      <c r="E335">
        <v>80</v>
      </c>
      <c r="F335" s="2">
        <v>0.09</v>
      </c>
    </row>
    <row r="336" spans="1:6" x14ac:dyDescent="0.3">
      <c r="A336" s="1">
        <v>43311</v>
      </c>
      <c r="B336" t="s">
        <v>7</v>
      </c>
      <c r="C336" t="s">
        <v>15</v>
      </c>
      <c r="D336">
        <v>22</v>
      </c>
      <c r="E336">
        <v>150</v>
      </c>
      <c r="F336" s="2">
        <v>0.04</v>
      </c>
    </row>
    <row r="337" spans="1:6" x14ac:dyDescent="0.3">
      <c r="A337" s="1">
        <v>43311</v>
      </c>
      <c r="B337" t="s">
        <v>8</v>
      </c>
      <c r="C337" t="s">
        <v>13</v>
      </c>
      <c r="D337">
        <v>20</v>
      </c>
      <c r="E337">
        <v>40</v>
      </c>
      <c r="F337" s="2">
        <v>0.03</v>
      </c>
    </row>
    <row r="338" spans="1:6" x14ac:dyDescent="0.3">
      <c r="A338" s="1">
        <v>43311</v>
      </c>
      <c r="B338" t="s">
        <v>7</v>
      </c>
      <c r="C338" t="s">
        <v>12</v>
      </c>
      <c r="D338">
        <v>16</v>
      </c>
      <c r="E338">
        <v>150</v>
      </c>
      <c r="F338" s="2">
        <v>0.08</v>
      </c>
    </row>
    <row r="339" spans="1:6" x14ac:dyDescent="0.3">
      <c r="A339" s="1">
        <v>43311</v>
      </c>
      <c r="B339" t="s">
        <v>10</v>
      </c>
      <c r="C339" t="s">
        <v>12</v>
      </c>
      <c r="D339">
        <v>5</v>
      </c>
      <c r="E339">
        <v>80</v>
      </c>
      <c r="F339" s="2">
        <v>7.0000000000000007E-2</v>
      </c>
    </row>
    <row r="340" spans="1:6" x14ac:dyDescent="0.3">
      <c r="A340" s="1">
        <v>43311</v>
      </c>
      <c r="B340" t="s">
        <v>7</v>
      </c>
      <c r="C340" t="s">
        <v>14</v>
      </c>
      <c r="D340">
        <v>6</v>
      </c>
      <c r="E340">
        <v>150</v>
      </c>
      <c r="F340" s="2">
        <v>0.03</v>
      </c>
    </row>
    <row r="341" spans="1:6" x14ac:dyDescent="0.3">
      <c r="A341" s="1">
        <v>43312</v>
      </c>
      <c r="B341" t="s">
        <v>10</v>
      </c>
      <c r="C341" t="s">
        <v>12</v>
      </c>
      <c r="D341">
        <v>9</v>
      </c>
      <c r="E341">
        <v>80</v>
      </c>
      <c r="F341" s="2">
        <v>0.03</v>
      </c>
    </row>
    <row r="342" spans="1:6" x14ac:dyDescent="0.3">
      <c r="A342" s="1">
        <v>43312</v>
      </c>
      <c r="B342" t="s">
        <v>10</v>
      </c>
      <c r="C342" t="s">
        <v>11</v>
      </c>
      <c r="D342">
        <v>8</v>
      </c>
      <c r="E342">
        <v>80</v>
      </c>
      <c r="F342" s="2">
        <v>0.08</v>
      </c>
    </row>
    <row r="343" spans="1:6" x14ac:dyDescent="0.3">
      <c r="A343" s="1">
        <v>43312</v>
      </c>
      <c r="B343" t="s">
        <v>6</v>
      </c>
      <c r="C343" t="s">
        <v>14</v>
      </c>
      <c r="D343">
        <v>8</v>
      </c>
      <c r="E343">
        <v>230</v>
      </c>
      <c r="F343" s="2">
        <v>0.01</v>
      </c>
    </row>
    <row r="344" spans="1:6" x14ac:dyDescent="0.3">
      <c r="A344" s="1">
        <v>43312</v>
      </c>
      <c r="B344" t="s">
        <v>9</v>
      </c>
      <c r="C344" t="s">
        <v>13</v>
      </c>
      <c r="D344">
        <v>12</v>
      </c>
      <c r="E344">
        <v>16</v>
      </c>
      <c r="F344" s="2">
        <v>0.04</v>
      </c>
    </row>
    <row r="345" spans="1:6" x14ac:dyDescent="0.3">
      <c r="A345" s="1">
        <v>43312</v>
      </c>
      <c r="B345" t="s">
        <v>9</v>
      </c>
      <c r="C345" t="s">
        <v>14</v>
      </c>
      <c r="D345">
        <v>18</v>
      </c>
      <c r="E345">
        <v>16</v>
      </c>
      <c r="F345" s="2">
        <v>0.04</v>
      </c>
    </row>
  </sheetData>
  <mergeCells count="1">
    <mergeCell ref="A2:F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280"/>
  <sheetViews>
    <sheetView workbookViewId="0">
      <selection activeCell="N14" sqref="N14"/>
    </sheetView>
  </sheetViews>
  <sheetFormatPr defaultRowHeight="14.4" x14ac:dyDescent="0.3"/>
  <cols>
    <col min="1" max="1" width="10.33203125" bestFit="1" customWidth="1"/>
    <col min="3" max="3" width="10.77734375" customWidth="1"/>
    <col min="4" max="4" width="10.21875" customWidth="1"/>
    <col min="6" max="6" width="13.109375" customWidth="1"/>
  </cols>
  <sheetData>
    <row r="2" spans="1:6" x14ac:dyDescent="0.3">
      <c r="A2" s="26" t="s">
        <v>16</v>
      </c>
      <c r="B2" s="26"/>
      <c r="C2" s="26"/>
      <c r="D2" s="26"/>
      <c r="E2" s="26"/>
      <c r="F2" s="26"/>
    </row>
    <row r="4" spans="1:6" x14ac:dyDescent="0.3">
      <c r="A4" t="s">
        <v>0</v>
      </c>
      <c r="B4" t="s">
        <v>1</v>
      </c>
      <c r="C4" t="s">
        <v>4</v>
      </c>
      <c r="D4" t="s">
        <v>2</v>
      </c>
      <c r="E4" t="s">
        <v>3</v>
      </c>
      <c r="F4" t="s">
        <v>5</v>
      </c>
    </row>
    <row r="5" spans="1:6" x14ac:dyDescent="0.3">
      <c r="A5" s="1">
        <v>43282</v>
      </c>
      <c r="B5" t="s">
        <v>9</v>
      </c>
      <c r="C5" t="s">
        <v>14</v>
      </c>
      <c r="D5">
        <v>10</v>
      </c>
      <c r="E5">
        <v>16</v>
      </c>
      <c r="F5" s="2">
        <v>0.01</v>
      </c>
    </row>
    <row r="6" spans="1:6" x14ac:dyDescent="0.3">
      <c r="A6" s="1">
        <v>43282</v>
      </c>
      <c r="B6" t="s">
        <v>9</v>
      </c>
      <c r="C6" t="s">
        <v>14</v>
      </c>
      <c r="D6">
        <v>14</v>
      </c>
      <c r="E6">
        <v>16</v>
      </c>
      <c r="F6" s="2">
        <v>0.12</v>
      </c>
    </row>
    <row r="7" spans="1:6" x14ac:dyDescent="0.3">
      <c r="A7" s="1">
        <v>43282</v>
      </c>
      <c r="B7" t="s">
        <v>8</v>
      </c>
      <c r="C7" t="s">
        <v>15</v>
      </c>
      <c r="D7">
        <v>6</v>
      </c>
      <c r="E7">
        <v>40</v>
      </c>
      <c r="F7" s="2">
        <v>0.06</v>
      </c>
    </row>
    <row r="8" spans="1:6" x14ac:dyDescent="0.3">
      <c r="A8" s="1">
        <v>43282</v>
      </c>
      <c r="B8" t="s">
        <v>8</v>
      </c>
      <c r="C8" t="s">
        <v>14</v>
      </c>
      <c r="D8">
        <v>13</v>
      </c>
      <c r="E8">
        <v>40</v>
      </c>
      <c r="F8" s="2">
        <v>0.09</v>
      </c>
    </row>
    <row r="9" spans="1:6" x14ac:dyDescent="0.3">
      <c r="A9" s="1">
        <v>43282</v>
      </c>
      <c r="B9" t="s">
        <v>9</v>
      </c>
      <c r="C9" t="s">
        <v>14</v>
      </c>
      <c r="D9">
        <v>10</v>
      </c>
      <c r="E9">
        <v>16</v>
      </c>
      <c r="F9" s="2">
        <v>0.04</v>
      </c>
    </row>
    <row r="10" spans="1:6" x14ac:dyDescent="0.3">
      <c r="A10" s="1">
        <v>43282</v>
      </c>
      <c r="B10" t="s">
        <v>10</v>
      </c>
      <c r="C10" t="s">
        <v>12</v>
      </c>
      <c r="D10">
        <v>14</v>
      </c>
      <c r="E10">
        <v>80</v>
      </c>
      <c r="F10" s="2">
        <v>0.11</v>
      </c>
    </row>
    <row r="11" spans="1:6" x14ac:dyDescent="0.3">
      <c r="A11" s="1">
        <v>43282</v>
      </c>
      <c r="B11" t="s">
        <v>8</v>
      </c>
      <c r="C11" t="s">
        <v>12</v>
      </c>
      <c r="D11">
        <v>4</v>
      </c>
      <c r="E11">
        <v>40</v>
      </c>
      <c r="F11" s="2">
        <v>0.06</v>
      </c>
    </row>
    <row r="12" spans="1:6" x14ac:dyDescent="0.3">
      <c r="A12" s="1">
        <v>43282</v>
      </c>
      <c r="B12" t="s">
        <v>8</v>
      </c>
      <c r="C12" t="s">
        <v>15</v>
      </c>
      <c r="D12">
        <v>11</v>
      </c>
      <c r="E12">
        <v>40</v>
      </c>
      <c r="F12" s="2">
        <v>0.05</v>
      </c>
    </row>
    <row r="13" spans="1:6" x14ac:dyDescent="0.3">
      <c r="A13" s="1">
        <v>43282</v>
      </c>
      <c r="B13" t="s">
        <v>9</v>
      </c>
      <c r="C13" t="s">
        <v>15</v>
      </c>
      <c r="D13">
        <v>14</v>
      </c>
      <c r="E13">
        <v>16</v>
      </c>
      <c r="F13" s="2">
        <v>0.01</v>
      </c>
    </row>
    <row r="14" spans="1:6" x14ac:dyDescent="0.3">
      <c r="A14" s="1">
        <v>43282</v>
      </c>
      <c r="B14" t="s">
        <v>7</v>
      </c>
      <c r="C14" t="s">
        <v>11</v>
      </c>
      <c r="D14">
        <v>20</v>
      </c>
      <c r="E14">
        <v>150</v>
      </c>
      <c r="F14" s="2">
        <v>0.04</v>
      </c>
    </row>
    <row r="15" spans="1:6" x14ac:dyDescent="0.3">
      <c r="A15" s="1">
        <v>43282</v>
      </c>
      <c r="B15" t="s">
        <v>8</v>
      </c>
      <c r="C15" t="s">
        <v>14</v>
      </c>
      <c r="D15">
        <v>9</v>
      </c>
      <c r="E15">
        <v>40</v>
      </c>
      <c r="F15" s="2">
        <v>0.06</v>
      </c>
    </row>
    <row r="16" spans="1:6" x14ac:dyDescent="0.3">
      <c r="A16" s="1">
        <v>43282</v>
      </c>
      <c r="B16" t="s">
        <v>7</v>
      </c>
      <c r="C16" t="s">
        <v>15</v>
      </c>
      <c r="D16">
        <v>18</v>
      </c>
      <c r="E16">
        <v>150</v>
      </c>
      <c r="F16" s="2">
        <v>0.06</v>
      </c>
    </row>
    <row r="17" spans="1:6" x14ac:dyDescent="0.3">
      <c r="A17" s="1">
        <v>43282</v>
      </c>
      <c r="B17" t="s">
        <v>6</v>
      </c>
      <c r="C17" t="s">
        <v>13</v>
      </c>
      <c r="D17">
        <v>17</v>
      </c>
      <c r="E17">
        <v>230</v>
      </c>
      <c r="F17" s="2">
        <v>0.11</v>
      </c>
    </row>
    <row r="18" spans="1:6" x14ac:dyDescent="0.3">
      <c r="A18" s="1">
        <v>43283</v>
      </c>
      <c r="B18" t="s">
        <v>8</v>
      </c>
      <c r="C18" t="s">
        <v>11</v>
      </c>
      <c r="D18">
        <v>20</v>
      </c>
      <c r="E18">
        <v>40</v>
      </c>
      <c r="F18" s="2">
        <v>0.04</v>
      </c>
    </row>
    <row r="19" spans="1:6" x14ac:dyDescent="0.3">
      <c r="A19" s="1">
        <v>43283</v>
      </c>
      <c r="B19" t="s">
        <v>8</v>
      </c>
      <c r="C19" t="s">
        <v>11</v>
      </c>
      <c r="D19">
        <v>23</v>
      </c>
      <c r="E19">
        <v>40</v>
      </c>
      <c r="F19" s="2">
        <v>0.03</v>
      </c>
    </row>
    <row r="20" spans="1:6" x14ac:dyDescent="0.3">
      <c r="A20" s="1">
        <v>43283</v>
      </c>
      <c r="B20" t="s">
        <v>6</v>
      </c>
      <c r="C20" t="s">
        <v>13</v>
      </c>
      <c r="D20">
        <v>21</v>
      </c>
      <c r="E20">
        <v>230</v>
      </c>
      <c r="F20" s="2">
        <v>0.05</v>
      </c>
    </row>
    <row r="21" spans="1:6" x14ac:dyDescent="0.3">
      <c r="A21" s="1">
        <v>43283</v>
      </c>
      <c r="B21" t="s">
        <v>10</v>
      </c>
      <c r="C21" t="s">
        <v>15</v>
      </c>
      <c r="D21">
        <v>6</v>
      </c>
      <c r="E21">
        <v>80</v>
      </c>
      <c r="F21" s="2">
        <v>0.09</v>
      </c>
    </row>
    <row r="22" spans="1:6" x14ac:dyDescent="0.3">
      <c r="A22" s="1">
        <v>43283</v>
      </c>
      <c r="B22" t="s">
        <v>9</v>
      </c>
      <c r="C22" t="s">
        <v>11</v>
      </c>
      <c r="D22">
        <v>20</v>
      </c>
      <c r="E22">
        <v>16</v>
      </c>
      <c r="F22" s="2">
        <v>0.01</v>
      </c>
    </row>
    <row r="23" spans="1:6" x14ac:dyDescent="0.3">
      <c r="A23" s="1">
        <v>43283</v>
      </c>
      <c r="B23" t="s">
        <v>8</v>
      </c>
      <c r="C23" t="s">
        <v>12</v>
      </c>
      <c r="D23">
        <v>8</v>
      </c>
      <c r="E23">
        <v>40</v>
      </c>
      <c r="F23" s="2">
        <v>0.09</v>
      </c>
    </row>
    <row r="24" spans="1:6" x14ac:dyDescent="0.3">
      <c r="A24" s="1">
        <v>43283</v>
      </c>
      <c r="B24" t="s">
        <v>6</v>
      </c>
      <c r="C24" t="s">
        <v>12</v>
      </c>
      <c r="D24">
        <v>15</v>
      </c>
      <c r="E24">
        <v>230</v>
      </c>
      <c r="F24" s="2">
        <v>0.09</v>
      </c>
    </row>
    <row r="25" spans="1:6" x14ac:dyDescent="0.3">
      <c r="A25" s="1">
        <v>43284</v>
      </c>
      <c r="B25" t="s">
        <v>10</v>
      </c>
      <c r="C25" t="s">
        <v>14</v>
      </c>
      <c r="D25">
        <v>21</v>
      </c>
      <c r="E25">
        <v>80</v>
      </c>
      <c r="F25" s="2">
        <v>0.02</v>
      </c>
    </row>
    <row r="26" spans="1:6" x14ac:dyDescent="0.3">
      <c r="A26" s="1">
        <v>43284</v>
      </c>
      <c r="B26" t="s">
        <v>10</v>
      </c>
      <c r="C26" t="s">
        <v>14</v>
      </c>
      <c r="D26">
        <v>19</v>
      </c>
      <c r="E26">
        <v>80</v>
      </c>
      <c r="F26" s="2">
        <v>0.02</v>
      </c>
    </row>
    <row r="27" spans="1:6" x14ac:dyDescent="0.3">
      <c r="A27" s="1">
        <v>43284</v>
      </c>
      <c r="B27" t="s">
        <v>9</v>
      </c>
      <c r="C27" t="s">
        <v>11</v>
      </c>
      <c r="D27">
        <v>7</v>
      </c>
      <c r="E27">
        <v>16</v>
      </c>
      <c r="F27" s="2">
        <v>0.08</v>
      </c>
    </row>
    <row r="28" spans="1:6" x14ac:dyDescent="0.3">
      <c r="A28" s="1">
        <v>43284</v>
      </c>
      <c r="B28" t="s">
        <v>8</v>
      </c>
      <c r="C28" t="s">
        <v>13</v>
      </c>
      <c r="D28">
        <v>11</v>
      </c>
      <c r="E28">
        <v>40</v>
      </c>
      <c r="F28" s="2">
        <v>0.05</v>
      </c>
    </row>
    <row r="29" spans="1:6" x14ac:dyDescent="0.3">
      <c r="A29" s="1">
        <v>43284</v>
      </c>
      <c r="B29" t="s">
        <v>6</v>
      </c>
      <c r="C29" t="s">
        <v>14</v>
      </c>
      <c r="D29">
        <v>8</v>
      </c>
      <c r="E29">
        <v>230</v>
      </c>
      <c r="F29" s="2">
        <v>0.05</v>
      </c>
    </row>
    <row r="30" spans="1:6" x14ac:dyDescent="0.3">
      <c r="A30" s="1">
        <v>43284</v>
      </c>
      <c r="B30" t="s">
        <v>10</v>
      </c>
      <c r="C30" t="s">
        <v>11</v>
      </c>
      <c r="D30">
        <v>18</v>
      </c>
      <c r="E30">
        <v>80</v>
      </c>
      <c r="F30" s="2">
        <v>0.02</v>
      </c>
    </row>
    <row r="31" spans="1:6" x14ac:dyDescent="0.3">
      <c r="A31" s="1">
        <v>43284</v>
      </c>
      <c r="B31" t="s">
        <v>8</v>
      </c>
      <c r="C31" t="s">
        <v>11</v>
      </c>
      <c r="D31">
        <v>7</v>
      </c>
      <c r="E31">
        <v>40</v>
      </c>
      <c r="F31" s="2">
        <v>0.1</v>
      </c>
    </row>
    <row r="32" spans="1:6" x14ac:dyDescent="0.3">
      <c r="A32" s="1">
        <v>43285</v>
      </c>
      <c r="B32" t="s">
        <v>9</v>
      </c>
      <c r="C32" t="s">
        <v>11</v>
      </c>
      <c r="D32">
        <v>16</v>
      </c>
      <c r="E32">
        <v>16</v>
      </c>
      <c r="F32" s="2">
        <v>0.03</v>
      </c>
    </row>
    <row r="33" spans="1:6" x14ac:dyDescent="0.3">
      <c r="A33" s="1">
        <v>43285</v>
      </c>
      <c r="B33" t="s">
        <v>10</v>
      </c>
      <c r="C33" t="s">
        <v>11</v>
      </c>
      <c r="D33">
        <v>8</v>
      </c>
      <c r="E33">
        <v>80</v>
      </c>
      <c r="F33" s="2">
        <v>0.08</v>
      </c>
    </row>
    <row r="34" spans="1:6" x14ac:dyDescent="0.3">
      <c r="A34" s="1">
        <v>43285</v>
      </c>
      <c r="B34" t="s">
        <v>6</v>
      </c>
      <c r="C34" t="s">
        <v>13</v>
      </c>
      <c r="D34">
        <v>22</v>
      </c>
      <c r="E34">
        <v>230</v>
      </c>
      <c r="F34" s="2">
        <v>0.1</v>
      </c>
    </row>
    <row r="35" spans="1:6" x14ac:dyDescent="0.3">
      <c r="A35" s="1">
        <v>43285</v>
      </c>
      <c r="B35" t="s">
        <v>6</v>
      </c>
      <c r="C35" t="s">
        <v>13</v>
      </c>
      <c r="D35">
        <v>3</v>
      </c>
      <c r="E35">
        <v>230</v>
      </c>
      <c r="F35" s="2">
        <v>0.1</v>
      </c>
    </row>
    <row r="36" spans="1:6" x14ac:dyDescent="0.3">
      <c r="A36" s="1">
        <v>43285</v>
      </c>
      <c r="B36" t="s">
        <v>6</v>
      </c>
      <c r="C36" t="s">
        <v>13</v>
      </c>
      <c r="D36">
        <v>20</v>
      </c>
      <c r="E36">
        <v>230</v>
      </c>
      <c r="F36" s="2">
        <v>0.11</v>
      </c>
    </row>
    <row r="37" spans="1:6" x14ac:dyDescent="0.3">
      <c r="A37" s="1">
        <v>43285</v>
      </c>
      <c r="B37" t="s">
        <v>9</v>
      </c>
      <c r="C37" t="s">
        <v>15</v>
      </c>
      <c r="D37">
        <v>12</v>
      </c>
      <c r="E37">
        <v>16</v>
      </c>
      <c r="F37" s="2">
        <v>0.03</v>
      </c>
    </row>
    <row r="38" spans="1:6" x14ac:dyDescent="0.3">
      <c r="A38" s="1">
        <v>43285</v>
      </c>
      <c r="B38" t="s">
        <v>8</v>
      </c>
      <c r="C38" t="s">
        <v>13</v>
      </c>
      <c r="D38">
        <v>20</v>
      </c>
      <c r="E38">
        <v>40</v>
      </c>
      <c r="F38" s="2">
        <v>7.0000000000000007E-2</v>
      </c>
    </row>
    <row r="39" spans="1:6" x14ac:dyDescent="0.3">
      <c r="A39" s="1">
        <v>43285</v>
      </c>
      <c r="B39" t="s">
        <v>6</v>
      </c>
      <c r="C39" t="s">
        <v>11</v>
      </c>
      <c r="D39">
        <v>3</v>
      </c>
      <c r="E39">
        <v>230</v>
      </c>
      <c r="F39" s="2">
        <v>0.06</v>
      </c>
    </row>
    <row r="40" spans="1:6" x14ac:dyDescent="0.3">
      <c r="A40" s="1">
        <v>43285</v>
      </c>
      <c r="B40" t="s">
        <v>10</v>
      </c>
      <c r="C40" t="s">
        <v>14</v>
      </c>
      <c r="D40">
        <v>16</v>
      </c>
      <c r="E40">
        <v>80</v>
      </c>
      <c r="F40" s="2">
        <v>7.0000000000000007E-2</v>
      </c>
    </row>
    <row r="41" spans="1:6" x14ac:dyDescent="0.3">
      <c r="A41" s="1">
        <v>43286</v>
      </c>
      <c r="B41" t="s">
        <v>8</v>
      </c>
      <c r="C41" t="s">
        <v>13</v>
      </c>
      <c r="D41">
        <v>3</v>
      </c>
      <c r="E41">
        <v>40</v>
      </c>
      <c r="F41" s="2">
        <v>0.03</v>
      </c>
    </row>
    <row r="42" spans="1:6" x14ac:dyDescent="0.3">
      <c r="A42" s="1">
        <v>43286</v>
      </c>
      <c r="B42" t="s">
        <v>6</v>
      </c>
      <c r="C42" t="s">
        <v>15</v>
      </c>
      <c r="D42">
        <v>12</v>
      </c>
      <c r="E42">
        <v>230</v>
      </c>
      <c r="F42" s="2">
        <v>0.03</v>
      </c>
    </row>
    <row r="43" spans="1:6" x14ac:dyDescent="0.3">
      <c r="A43" s="1">
        <v>43286</v>
      </c>
      <c r="B43" t="s">
        <v>8</v>
      </c>
      <c r="C43" t="s">
        <v>14</v>
      </c>
      <c r="D43">
        <v>22</v>
      </c>
      <c r="E43">
        <v>40</v>
      </c>
      <c r="F43" s="2">
        <v>0.01</v>
      </c>
    </row>
    <row r="44" spans="1:6" x14ac:dyDescent="0.3">
      <c r="A44" s="1">
        <v>43286</v>
      </c>
      <c r="B44" t="s">
        <v>8</v>
      </c>
      <c r="C44" t="s">
        <v>12</v>
      </c>
      <c r="D44">
        <v>19</v>
      </c>
      <c r="E44">
        <v>40</v>
      </c>
      <c r="F44" s="2">
        <v>0.1</v>
      </c>
    </row>
    <row r="45" spans="1:6" x14ac:dyDescent="0.3">
      <c r="A45" s="1">
        <v>43286</v>
      </c>
      <c r="B45" t="s">
        <v>10</v>
      </c>
      <c r="C45" t="s">
        <v>12</v>
      </c>
      <c r="D45">
        <v>21</v>
      </c>
      <c r="E45">
        <v>80</v>
      </c>
      <c r="F45" s="2">
        <v>0.04</v>
      </c>
    </row>
    <row r="46" spans="1:6" x14ac:dyDescent="0.3">
      <c r="A46" s="1">
        <v>43286</v>
      </c>
      <c r="B46" t="s">
        <v>10</v>
      </c>
      <c r="C46" t="s">
        <v>12</v>
      </c>
      <c r="D46">
        <v>2</v>
      </c>
      <c r="E46">
        <v>80</v>
      </c>
      <c r="F46" s="2">
        <v>0.04</v>
      </c>
    </row>
    <row r="47" spans="1:6" x14ac:dyDescent="0.3">
      <c r="A47" s="1">
        <v>43286</v>
      </c>
      <c r="B47" t="s">
        <v>7</v>
      </c>
      <c r="C47" t="s">
        <v>12</v>
      </c>
      <c r="D47">
        <v>15</v>
      </c>
      <c r="E47">
        <v>150</v>
      </c>
      <c r="F47" s="2">
        <v>0.02</v>
      </c>
    </row>
    <row r="48" spans="1:6" x14ac:dyDescent="0.3">
      <c r="A48" s="1">
        <v>43287</v>
      </c>
      <c r="B48" t="s">
        <v>8</v>
      </c>
      <c r="C48" t="s">
        <v>12</v>
      </c>
      <c r="D48">
        <v>14</v>
      </c>
      <c r="E48">
        <v>40</v>
      </c>
      <c r="F48" s="2">
        <v>0.06</v>
      </c>
    </row>
    <row r="49" spans="1:6" x14ac:dyDescent="0.3">
      <c r="A49" s="1">
        <v>43287</v>
      </c>
      <c r="B49" t="s">
        <v>10</v>
      </c>
      <c r="C49" t="s">
        <v>14</v>
      </c>
      <c r="D49">
        <v>7</v>
      </c>
      <c r="E49">
        <v>80</v>
      </c>
      <c r="F49" s="2">
        <v>7.0000000000000007E-2</v>
      </c>
    </row>
    <row r="50" spans="1:6" x14ac:dyDescent="0.3">
      <c r="A50" s="1">
        <v>43287</v>
      </c>
      <c r="B50" t="s">
        <v>10</v>
      </c>
      <c r="C50" t="s">
        <v>15</v>
      </c>
      <c r="D50">
        <v>7</v>
      </c>
      <c r="E50">
        <v>80</v>
      </c>
      <c r="F50" s="2">
        <v>0.05</v>
      </c>
    </row>
    <row r="51" spans="1:6" x14ac:dyDescent="0.3">
      <c r="A51" s="1">
        <v>43287</v>
      </c>
      <c r="B51" t="s">
        <v>7</v>
      </c>
      <c r="C51" t="s">
        <v>12</v>
      </c>
      <c r="D51">
        <v>10</v>
      </c>
      <c r="E51">
        <v>150</v>
      </c>
      <c r="F51" s="2">
        <v>0.01</v>
      </c>
    </row>
    <row r="52" spans="1:6" x14ac:dyDescent="0.3">
      <c r="A52" s="1">
        <v>43287</v>
      </c>
      <c r="B52" t="s">
        <v>10</v>
      </c>
      <c r="C52" t="s">
        <v>15</v>
      </c>
      <c r="D52">
        <v>10</v>
      </c>
      <c r="E52">
        <v>80</v>
      </c>
      <c r="F52" s="2">
        <v>0.08</v>
      </c>
    </row>
    <row r="53" spans="1:6" x14ac:dyDescent="0.3">
      <c r="A53" s="1">
        <v>43287</v>
      </c>
      <c r="B53" t="s">
        <v>10</v>
      </c>
      <c r="C53" t="s">
        <v>14</v>
      </c>
      <c r="D53">
        <v>15</v>
      </c>
      <c r="E53">
        <v>80</v>
      </c>
      <c r="F53" s="2">
        <v>0.08</v>
      </c>
    </row>
    <row r="54" spans="1:6" x14ac:dyDescent="0.3">
      <c r="A54" s="1">
        <v>43287</v>
      </c>
      <c r="B54" t="s">
        <v>6</v>
      </c>
      <c r="C54" t="s">
        <v>14</v>
      </c>
      <c r="D54">
        <v>18</v>
      </c>
      <c r="E54">
        <v>230</v>
      </c>
      <c r="F54" s="2">
        <v>0.01</v>
      </c>
    </row>
    <row r="55" spans="1:6" x14ac:dyDescent="0.3">
      <c r="A55" s="1">
        <v>43287</v>
      </c>
      <c r="B55" t="s">
        <v>10</v>
      </c>
      <c r="C55" t="s">
        <v>11</v>
      </c>
      <c r="D55">
        <v>8</v>
      </c>
      <c r="E55">
        <v>80</v>
      </c>
      <c r="F55" s="2">
        <v>0.09</v>
      </c>
    </row>
    <row r="56" spans="1:6" x14ac:dyDescent="0.3">
      <c r="A56" s="1">
        <v>43287</v>
      </c>
      <c r="B56" t="s">
        <v>9</v>
      </c>
      <c r="C56" t="s">
        <v>15</v>
      </c>
      <c r="D56">
        <v>6</v>
      </c>
      <c r="E56">
        <v>16</v>
      </c>
      <c r="F56" s="2">
        <v>0.01</v>
      </c>
    </row>
    <row r="57" spans="1:6" x14ac:dyDescent="0.3">
      <c r="A57" s="1">
        <v>43287</v>
      </c>
      <c r="B57" t="s">
        <v>6</v>
      </c>
      <c r="C57" t="s">
        <v>12</v>
      </c>
      <c r="D57">
        <v>9</v>
      </c>
      <c r="E57">
        <v>230</v>
      </c>
      <c r="F57" s="2">
        <v>0.03</v>
      </c>
    </row>
    <row r="58" spans="1:6" x14ac:dyDescent="0.3">
      <c r="A58" s="1">
        <v>43288</v>
      </c>
      <c r="B58" t="s">
        <v>8</v>
      </c>
      <c r="C58" t="s">
        <v>14</v>
      </c>
      <c r="D58">
        <v>15</v>
      </c>
      <c r="E58">
        <v>40</v>
      </c>
      <c r="F58" s="2">
        <v>0.03</v>
      </c>
    </row>
    <row r="59" spans="1:6" x14ac:dyDescent="0.3">
      <c r="A59" s="1">
        <v>43288</v>
      </c>
      <c r="B59" t="s">
        <v>8</v>
      </c>
      <c r="C59" t="s">
        <v>12</v>
      </c>
      <c r="D59">
        <v>15</v>
      </c>
      <c r="E59">
        <v>40</v>
      </c>
      <c r="F59" s="2">
        <v>0.04</v>
      </c>
    </row>
    <row r="60" spans="1:6" x14ac:dyDescent="0.3">
      <c r="A60" s="1">
        <v>43288</v>
      </c>
      <c r="B60" t="s">
        <v>9</v>
      </c>
      <c r="C60" t="s">
        <v>13</v>
      </c>
      <c r="D60">
        <v>11</v>
      </c>
      <c r="E60">
        <v>16</v>
      </c>
      <c r="F60" s="2">
        <v>0.12</v>
      </c>
    </row>
    <row r="61" spans="1:6" x14ac:dyDescent="0.3">
      <c r="A61" s="1">
        <v>43288</v>
      </c>
      <c r="B61" t="s">
        <v>9</v>
      </c>
      <c r="C61" t="s">
        <v>11</v>
      </c>
      <c r="D61">
        <v>12</v>
      </c>
      <c r="E61">
        <v>16</v>
      </c>
      <c r="F61" s="2">
        <v>0.11</v>
      </c>
    </row>
    <row r="62" spans="1:6" x14ac:dyDescent="0.3">
      <c r="A62" s="1">
        <v>43288</v>
      </c>
      <c r="B62" t="s">
        <v>9</v>
      </c>
      <c r="C62" t="s">
        <v>14</v>
      </c>
      <c r="D62">
        <v>18</v>
      </c>
      <c r="E62">
        <v>16</v>
      </c>
      <c r="F62" s="2">
        <v>0.04</v>
      </c>
    </row>
    <row r="63" spans="1:6" x14ac:dyDescent="0.3">
      <c r="A63" s="1">
        <v>43288</v>
      </c>
      <c r="B63" t="s">
        <v>8</v>
      </c>
      <c r="C63" t="s">
        <v>15</v>
      </c>
      <c r="D63">
        <v>20</v>
      </c>
      <c r="E63">
        <v>40</v>
      </c>
      <c r="F63" s="2">
        <v>0.01</v>
      </c>
    </row>
    <row r="64" spans="1:6" x14ac:dyDescent="0.3">
      <c r="A64" s="1">
        <v>43288</v>
      </c>
      <c r="B64" t="s">
        <v>7</v>
      </c>
      <c r="C64" t="s">
        <v>13</v>
      </c>
      <c r="D64">
        <v>7</v>
      </c>
      <c r="E64">
        <v>150</v>
      </c>
      <c r="F64" s="2">
        <v>0.03</v>
      </c>
    </row>
    <row r="65" spans="1:6" x14ac:dyDescent="0.3">
      <c r="A65" s="1">
        <v>43288</v>
      </c>
      <c r="B65" t="s">
        <v>8</v>
      </c>
      <c r="C65" t="s">
        <v>14</v>
      </c>
      <c r="D65">
        <v>23</v>
      </c>
      <c r="E65">
        <v>40</v>
      </c>
      <c r="F65" s="2">
        <v>0.06</v>
      </c>
    </row>
    <row r="66" spans="1:6" x14ac:dyDescent="0.3">
      <c r="A66" s="1">
        <v>43288</v>
      </c>
      <c r="B66" t="s">
        <v>10</v>
      </c>
      <c r="C66" t="s">
        <v>11</v>
      </c>
      <c r="D66">
        <v>7</v>
      </c>
      <c r="E66">
        <v>80</v>
      </c>
      <c r="F66" s="2">
        <v>0.02</v>
      </c>
    </row>
    <row r="67" spans="1:6" x14ac:dyDescent="0.3">
      <c r="A67" s="1">
        <v>43288</v>
      </c>
      <c r="B67" t="s">
        <v>7</v>
      </c>
      <c r="C67" t="s">
        <v>12</v>
      </c>
      <c r="D67">
        <v>16</v>
      </c>
      <c r="E67">
        <v>150</v>
      </c>
      <c r="F67" s="2">
        <v>0.05</v>
      </c>
    </row>
    <row r="68" spans="1:6" x14ac:dyDescent="0.3">
      <c r="A68" s="1">
        <v>43288</v>
      </c>
      <c r="B68" t="s">
        <v>6</v>
      </c>
      <c r="C68" t="s">
        <v>12</v>
      </c>
      <c r="D68">
        <v>6</v>
      </c>
      <c r="E68">
        <v>230</v>
      </c>
      <c r="F68" s="2">
        <v>0.1</v>
      </c>
    </row>
    <row r="69" spans="1:6" x14ac:dyDescent="0.3">
      <c r="A69" s="1">
        <v>43289</v>
      </c>
      <c r="B69" t="s">
        <v>8</v>
      </c>
      <c r="C69" t="s">
        <v>13</v>
      </c>
      <c r="D69">
        <v>7</v>
      </c>
      <c r="E69">
        <v>40</v>
      </c>
      <c r="F69" s="2">
        <v>0.12</v>
      </c>
    </row>
    <row r="70" spans="1:6" x14ac:dyDescent="0.3">
      <c r="A70" s="1">
        <v>43289</v>
      </c>
      <c r="B70" t="s">
        <v>10</v>
      </c>
      <c r="C70" t="s">
        <v>15</v>
      </c>
      <c r="D70">
        <v>23</v>
      </c>
      <c r="E70">
        <v>80</v>
      </c>
      <c r="F70" s="2">
        <v>0.05</v>
      </c>
    </row>
    <row r="71" spans="1:6" x14ac:dyDescent="0.3">
      <c r="A71" s="1">
        <v>43289</v>
      </c>
      <c r="B71" t="s">
        <v>10</v>
      </c>
      <c r="C71" t="s">
        <v>14</v>
      </c>
      <c r="D71">
        <v>16</v>
      </c>
      <c r="E71">
        <v>80</v>
      </c>
      <c r="F71" s="2">
        <v>0.1</v>
      </c>
    </row>
    <row r="72" spans="1:6" x14ac:dyDescent="0.3">
      <c r="A72" s="1">
        <v>43289</v>
      </c>
      <c r="B72" t="s">
        <v>10</v>
      </c>
      <c r="C72" t="s">
        <v>11</v>
      </c>
      <c r="D72">
        <v>16</v>
      </c>
      <c r="E72">
        <v>80</v>
      </c>
      <c r="F72" s="2">
        <v>0.03</v>
      </c>
    </row>
    <row r="73" spans="1:6" x14ac:dyDescent="0.3">
      <c r="A73" s="1">
        <v>43289</v>
      </c>
      <c r="B73" t="s">
        <v>10</v>
      </c>
      <c r="C73" t="s">
        <v>13</v>
      </c>
      <c r="D73">
        <v>22</v>
      </c>
      <c r="E73">
        <v>80</v>
      </c>
      <c r="F73" s="2">
        <v>0.09</v>
      </c>
    </row>
    <row r="74" spans="1:6" x14ac:dyDescent="0.3">
      <c r="A74" s="1">
        <v>43289</v>
      </c>
      <c r="B74" t="s">
        <v>9</v>
      </c>
      <c r="C74" t="s">
        <v>11</v>
      </c>
      <c r="D74">
        <v>18</v>
      </c>
      <c r="E74">
        <v>16</v>
      </c>
      <c r="F74" s="2">
        <v>0.05</v>
      </c>
    </row>
    <row r="75" spans="1:6" x14ac:dyDescent="0.3">
      <c r="A75" s="1">
        <v>43289</v>
      </c>
      <c r="B75" t="s">
        <v>6</v>
      </c>
      <c r="C75" t="s">
        <v>13</v>
      </c>
      <c r="D75">
        <v>5</v>
      </c>
      <c r="E75">
        <v>230</v>
      </c>
      <c r="F75" s="2">
        <v>0.12</v>
      </c>
    </row>
    <row r="76" spans="1:6" x14ac:dyDescent="0.3">
      <c r="A76" s="1">
        <v>43289</v>
      </c>
      <c r="B76" t="s">
        <v>7</v>
      </c>
      <c r="C76" t="s">
        <v>13</v>
      </c>
      <c r="D76">
        <v>7</v>
      </c>
      <c r="E76">
        <v>150</v>
      </c>
      <c r="F76" s="2">
        <v>0.02</v>
      </c>
    </row>
    <row r="77" spans="1:6" x14ac:dyDescent="0.3">
      <c r="A77" s="1">
        <v>43289</v>
      </c>
      <c r="B77" t="s">
        <v>8</v>
      </c>
      <c r="C77" t="s">
        <v>15</v>
      </c>
      <c r="D77">
        <v>2</v>
      </c>
      <c r="E77">
        <v>40</v>
      </c>
      <c r="F77" s="2">
        <v>0.03</v>
      </c>
    </row>
    <row r="78" spans="1:6" x14ac:dyDescent="0.3">
      <c r="A78" s="1">
        <v>43289</v>
      </c>
      <c r="B78" t="s">
        <v>8</v>
      </c>
      <c r="C78" t="s">
        <v>14</v>
      </c>
      <c r="D78">
        <v>11</v>
      </c>
      <c r="E78">
        <v>40</v>
      </c>
      <c r="F78" s="2">
        <v>0.06</v>
      </c>
    </row>
    <row r="79" spans="1:6" x14ac:dyDescent="0.3">
      <c r="A79" s="1">
        <v>43289</v>
      </c>
      <c r="B79" t="s">
        <v>10</v>
      </c>
      <c r="C79" t="s">
        <v>14</v>
      </c>
      <c r="D79">
        <v>7</v>
      </c>
      <c r="E79">
        <v>80</v>
      </c>
      <c r="F79" s="2">
        <v>0.02</v>
      </c>
    </row>
    <row r="80" spans="1:6" x14ac:dyDescent="0.3">
      <c r="A80" s="1">
        <v>43290</v>
      </c>
      <c r="B80" t="s">
        <v>8</v>
      </c>
      <c r="C80" t="s">
        <v>15</v>
      </c>
      <c r="D80">
        <v>4</v>
      </c>
      <c r="E80">
        <v>40</v>
      </c>
      <c r="F80" s="2">
        <v>0.11</v>
      </c>
    </row>
    <row r="81" spans="1:6" x14ac:dyDescent="0.3">
      <c r="A81" s="1">
        <v>43290</v>
      </c>
      <c r="B81" t="s">
        <v>8</v>
      </c>
      <c r="C81" t="s">
        <v>15</v>
      </c>
      <c r="D81">
        <v>2</v>
      </c>
      <c r="E81">
        <v>40</v>
      </c>
      <c r="F81" s="2">
        <v>0.02</v>
      </c>
    </row>
    <row r="82" spans="1:6" x14ac:dyDescent="0.3">
      <c r="A82" s="1">
        <v>43290</v>
      </c>
      <c r="B82" t="s">
        <v>6</v>
      </c>
      <c r="C82" t="s">
        <v>14</v>
      </c>
      <c r="D82">
        <v>23</v>
      </c>
      <c r="E82">
        <v>230</v>
      </c>
      <c r="F82" s="2">
        <v>0.06</v>
      </c>
    </row>
    <row r="83" spans="1:6" x14ac:dyDescent="0.3">
      <c r="A83" s="1">
        <v>43290</v>
      </c>
      <c r="B83" t="s">
        <v>10</v>
      </c>
      <c r="C83" t="s">
        <v>13</v>
      </c>
      <c r="D83">
        <v>21</v>
      </c>
      <c r="E83">
        <v>80</v>
      </c>
      <c r="F83" s="2">
        <v>0.09</v>
      </c>
    </row>
    <row r="84" spans="1:6" x14ac:dyDescent="0.3">
      <c r="A84" s="1">
        <v>43290</v>
      </c>
      <c r="B84" t="s">
        <v>10</v>
      </c>
      <c r="C84" t="s">
        <v>13</v>
      </c>
      <c r="D84">
        <v>9</v>
      </c>
      <c r="E84">
        <v>80</v>
      </c>
      <c r="F84" s="2">
        <v>0.06</v>
      </c>
    </row>
    <row r="85" spans="1:6" x14ac:dyDescent="0.3">
      <c r="A85" s="1">
        <v>43290</v>
      </c>
      <c r="B85" t="s">
        <v>10</v>
      </c>
      <c r="C85" t="s">
        <v>13</v>
      </c>
      <c r="D85">
        <v>22</v>
      </c>
      <c r="E85">
        <v>80</v>
      </c>
      <c r="F85" s="2">
        <v>0.11</v>
      </c>
    </row>
    <row r="86" spans="1:6" x14ac:dyDescent="0.3">
      <c r="A86" s="1">
        <v>43291</v>
      </c>
      <c r="B86" t="s">
        <v>6</v>
      </c>
      <c r="C86" t="s">
        <v>15</v>
      </c>
      <c r="D86">
        <v>15</v>
      </c>
      <c r="E86">
        <v>230</v>
      </c>
      <c r="F86" s="2">
        <v>0.11</v>
      </c>
    </row>
    <row r="87" spans="1:6" x14ac:dyDescent="0.3">
      <c r="A87" s="1">
        <v>43291</v>
      </c>
      <c r="B87" t="s">
        <v>8</v>
      </c>
      <c r="C87" t="s">
        <v>12</v>
      </c>
      <c r="D87">
        <v>7</v>
      </c>
      <c r="E87">
        <v>40</v>
      </c>
      <c r="F87" s="2">
        <v>0.01</v>
      </c>
    </row>
    <row r="88" spans="1:6" x14ac:dyDescent="0.3">
      <c r="A88" s="1">
        <v>43291</v>
      </c>
      <c r="B88" t="s">
        <v>7</v>
      </c>
      <c r="C88" t="s">
        <v>13</v>
      </c>
      <c r="D88">
        <v>17</v>
      </c>
      <c r="E88">
        <v>150</v>
      </c>
      <c r="F88" s="2">
        <v>0.02</v>
      </c>
    </row>
    <row r="89" spans="1:6" x14ac:dyDescent="0.3">
      <c r="A89" s="1">
        <v>43291</v>
      </c>
      <c r="B89" t="s">
        <v>7</v>
      </c>
      <c r="C89" t="s">
        <v>12</v>
      </c>
      <c r="D89">
        <v>22</v>
      </c>
      <c r="E89">
        <v>150</v>
      </c>
      <c r="F89" s="2">
        <v>0.02</v>
      </c>
    </row>
    <row r="90" spans="1:6" x14ac:dyDescent="0.3">
      <c r="A90" s="1">
        <v>43291</v>
      </c>
      <c r="B90" t="s">
        <v>6</v>
      </c>
      <c r="C90" t="s">
        <v>15</v>
      </c>
      <c r="D90">
        <v>10</v>
      </c>
      <c r="E90">
        <v>230</v>
      </c>
      <c r="F90" s="2">
        <v>0.02</v>
      </c>
    </row>
    <row r="91" spans="1:6" x14ac:dyDescent="0.3">
      <c r="A91" s="1">
        <v>43291</v>
      </c>
      <c r="B91" t="s">
        <v>8</v>
      </c>
      <c r="C91" t="s">
        <v>13</v>
      </c>
      <c r="D91">
        <v>21</v>
      </c>
      <c r="E91">
        <v>40</v>
      </c>
      <c r="F91" s="2">
        <v>0.01</v>
      </c>
    </row>
    <row r="92" spans="1:6" x14ac:dyDescent="0.3">
      <c r="A92" s="1">
        <v>43291</v>
      </c>
      <c r="B92" t="s">
        <v>6</v>
      </c>
      <c r="C92" t="s">
        <v>15</v>
      </c>
      <c r="D92">
        <v>5</v>
      </c>
      <c r="E92">
        <v>230</v>
      </c>
      <c r="F92" s="2">
        <v>0.1</v>
      </c>
    </row>
    <row r="93" spans="1:6" x14ac:dyDescent="0.3">
      <c r="A93" s="1">
        <v>43291</v>
      </c>
      <c r="B93" t="s">
        <v>6</v>
      </c>
      <c r="C93" t="s">
        <v>13</v>
      </c>
      <c r="D93">
        <v>13</v>
      </c>
      <c r="E93">
        <v>230</v>
      </c>
      <c r="F93" s="2">
        <v>0.06</v>
      </c>
    </row>
    <row r="94" spans="1:6" x14ac:dyDescent="0.3">
      <c r="A94" s="1">
        <v>43291</v>
      </c>
      <c r="B94" t="s">
        <v>7</v>
      </c>
      <c r="C94" t="s">
        <v>11</v>
      </c>
      <c r="D94">
        <v>23</v>
      </c>
      <c r="E94">
        <v>150</v>
      </c>
      <c r="F94" s="2">
        <v>0.1</v>
      </c>
    </row>
    <row r="95" spans="1:6" x14ac:dyDescent="0.3">
      <c r="A95" s="1">
        <v>43291</v>
      </c>
      <c r="B95" t="s">
        <v>7</v>
      </c>
      <c r="C95" t="s">
        <v>11</v>
      </c>
      <c r="D95">
        <v>20</v>
      </c>
      <c r="E95">
        <v>150</v>
      </c>
      <c r="F95" s="2">
        <v>0.03</v>
      </c>
    </row>
    <row r="96" spans="1:6" x14ac:dyDescent="0.3">
      <c r="A96" s="1">
        <v>43292</v>
      </c>
      <c r="B96" t="s">
        <v>6</v>
      </c>
      <c r="C96" t="s">
        <v>11</v>
      </c>
      <c r="D96">
        <v>3</v>
      </c>
      <c r="E96">
        <v>230</v>
      </c>
      <c r="F96" s="2">
        <v>0.11</v>
      </c>
    </row>
    <row r="97" spans="1:6" x14ac:dyDescent="0.3">
      <c r="A97" s="1">
        <v>43292</v>
      </c>
      <c r="B97" t="s">
        <v>7</v>
      </c>
      <c r="C97" t="s">
        <v>12</v>
      </c>
      <c r="D97">
        <v>16</v>
      </c>
      <c r="E97">
        <v>150</v>
      </c>
      <c r="F97" s="2">
        <v>0.08</v>
      </c>
    </row>
    <row r="98" spans="1:6" x14ac:dyDescent="0.3">
      <c r="A98" s="1">
        <v>43292</v>
      </c>
      <c r="B98" t="s">
        <v>9</v>
      </c>
      <c r="C98" t="s">
        <v>13</v>
      </c>
      <c r="D98">
        <v>14</v>
      </c>
      <c r="E98">
        <v>16</v>
      </c>
      <c r="F98" s="2">
        <v>0.06</v>
      </c>
    </row>
    <row r="99" spans="1:6" x14ac:dyDescent="0.3">
      <c r="A99" s="1">
        <v>43292</v>
      </c>
      <c r="B99" t="s">
        <v>7</v>
      </c>
      <c r="C99" t="s">
        <v>12</v>
      </c>
      <c r="D99">
        <v>16</v>
      </c>
      <c r="E99">
        <v>150</v>
      </c>
      <c r="F99" s="2">
        <v>0.03</v>
      </c>
    </row>
    <row r="100" spans="1:6" x14ac:dyDescent="0.3">
      <c r="A100" s="1">
        <v>43292</v>
      </c>
      <c r="B100" t="s">
        <v>9</v>
      </c>
      <c r="C100" t="s">
        <v>13</v>
      </c>
      <c r="D100">
        <v>19</v>
      </c>
      <c r="E100">
        <v>16</v>
      </c>
      <c r="F100" s="2">
        <v>0.02</v>
      </c>
    </row>
    <row r="101" spans="1:6" x14ac:dyDescent="0.3">
      <c r="A101" s="1">
        <v>43292</v>
      </c>
      <c r="B101" t="s">
        <v>10</v>
      </c>
      <c r="C101" t="s">
        <v>13</v>
      </c>
      <c r="D101">
        <v>6</v>
      </c>
      <c r="E101">
        <v>80</v>
      </c>
      <c r="F101" s="2">
        <v>0.09</v>
      </c>
    </row>
    <row r="102" spans="1:6" x14ac:dyDescent="0.3">
      <c r="A102" s="1">
        <v>43292</v>
      </c>
      <c r="B102" t="s">
        <v>10</v>
      </c>
      <c r="C102" t="s">
        <v>13</v>
      </c>
      <c r="D102">
        <v>9</v>
      </c>
      <c r="E102">
        <v>80</v>
      </c>
      <c r="F102" s="2">
        <v>7.0000000000000007E-2</v>
      </c>
    </row>
    <row r="103" spans="1:6" x14ac:dyDescent="0.3">
      <c r="A103" s="1">
        <v>43292</v>
      </c>
      <c r="B103" t="s">
        <v>7</v>
      </c>
      <c r="C103" t="s">
        <v>12</v>
      </c>
      <c r="D103">
        <v>20</v>
      </c>
      <c r="E103">
        <v>150</v>
      </c>
      <c r="F103" s="2">
        <v>0.09</v>
      </c>
    </row>
    <row r="104" spans="1:6" x14ac:dyDescent="0.3">
      <c r="A104" s="1">
        <v>43292</v>
      </c>
      <c r="B104" t="s">
        <v>10</v>
      </c>
      <c r="C104" t="s">
        <v>15</v>
      </c>
      <c r="D104">
        <v>10</v>
      </c>
      <c r="E104">
        <v>80</v>
      </c>
      <c r="F104" s="2">
        <v>0.11</v>
      </c>
    </row>
    <row r="105" spans="1:6" x14ac:dyDescent="0.3">
      <c r="A105" s="1">
        <v>43292</v>
      </c>
      <c r="B105" t="s">
        <v>9</v>
      </c>
      <c r="C105" t="s">
        <v>11</v>
      </c>
      <c r="D105">
        <v>4</v>
      </c>
      <c r="E105">
        <v>16</v>
      </c>
      <c r="F105" s="2">
        <v>0.12</v>
      </c>
    </row>
    <row r="106" spans="1:6" x14ac:dyDescent="0.3">
      <c r="A106" s="1">
        <v>43292</v>
      </c>
      <c r="B106" t="s">
        <v>8</v>
      </c>
      <c r="C106" t="s">
        <v>13</v>
      </c>
      <c r="D106">
        <v>16</v>
      </c>
      <c r="E106">
        <v>40</v>
      </c>
      <c r="F106" s="2">
        <v>0.11</v>
      </c>
    </row>
    <row r="107" spans="1:6" x14ac:dyDescent="0.3">
      <c r="A107" s="1">
        <v>43293</v>
      </c>
      <c r="B107" t="s">
        <v>10</v>
      </c>
      <c r="C107" t="s">
        <v>12</v>
      </c>
      <c r="D107">
        <v>5</v>
      </c>
      <c r="E107">
        <v>80</v>
      </c>
      <c r="F107" s="2">
        <v>0.04</v>
      </c>
    </row>
    <row r="108" spans="1:6" x14ac:dyDescent="0.3">
      <c r="A108" s="1">
        <v>43293</v>
      </c>
      <c r="B108" t="s">
        <v>9</v>
      </c>
      <c r="C108" t="s">
        <v>15</v>
      </c>
      <c r="D108">
        <v>11</v>
      </c>
      <c r="E108">
        <v>16</v>
      </c>
      <c r="F108" s="2">
        <v>0.04</v>
      </c>
    </row>
    <row r="109" spans="1:6" x14ac:dyDescent="0.3">
      <c r="A109" s="1">
        <v>43293</v>
      </c>
      <c r="B109" t="s">
        <v>7</v>
      </c>
      <c r="C109" t="s">
        <v>11</v>
      </c>
      <c r="D109">
        <v>17</v>
      </c>
      <c r="E109">
        <v>150</v>
      </c>
      <c r="F109" s="2">
        <v>0.12</v>
      </c>
    </row>
    <row r="110" spans="1:6" x14ac:dyDescent="0.3">
      <c r="A110" s="1">
        <v>43293</v>
      </c>
      <c r="B110" t="s">
        <v>6</v>
      </c>
      <c r="C110" t="s">
        <v>12</v>
      </c>
      <c r="D110">
        <v>19</v>
      </c>
      <c r="E110">
        <v>230</v>
      </c>
      <c r="F110" s="2">
        <v>0.11</v>
      </c>
    </row>
    <row r="111" spans="1:6" x14ac:dyDescent="0.3">
      <c r="A111" s="1">
        <v>43293</v>
      </c>
      <c r="B111" t="s">
        <v>10</v>
      </c>
      <c r="C111" t="s">
        <v>11</v>
      </c>
      <c r="D111">
        <v>21</v>
      </c>
      <c r="E111">
        <v>80</v>
      </c>
      <c r="F111" s="2">
        <v>0.04</v>
      </c>
    </row>
    <row r="112" spans="1:6" x14ac:dyDescent="0.3">
      <c r="A112" s="1">
        <v>43293</v>
      </c>
      <c r="B112" t="s">
        <v>6</v>
      </c>
      <c r="C112" t="s">
        <v>12</v>
      </c>
      <c r="D112">
        <v>7</v>
      </c>
      <c r="E112">
        <v>230</v>
      </c>
      <c r="F112" s="2">
        <v>0.01</v>
      </c>
    </row>
    <row r="113" spans="1:6" x14ac:dyDescent="0.3">
      <c r="A113" s="1">
        <v>43293</v>
      </c>
      <c r="B113" t="s">
        <v>8</v>
      </c>
      <c r="C113" t="s">
        <v>15</v>
      </c>
      <c r="D113">
        <v>2</v>
      </c>
      <c r="E113">
        <v>40</v>
      </c>
      <c r="F113" s="2">
        <v>0.03</v>
      </c>
    </row>
    <row r="114" spans="1:6" x14ac:dyDescent="0.3">
      <c r="A114" s="1">
        <v>43293</v>
      </c>
      <c r="B114" t="s">
        <v>7</v>
      </c>
      <c r="C114" t="s">
        <v>11</v>
      </c>
      <c r="D114">
        <v>7</v>
      </c>
      <c r="E114">
        <v>150</v>
      </c>
      <c r="F114" s="2">
        <v>0.02</v>
      </c>
    </row>
    <row r="115" spans="1:6" x14ac:dyDescent="0.3">
      <c r="A115" s="1">
        <v>43294</v>
      </c>
      <c r="B115" t="s">
        <v>10</v>
      </c>
      <c r="C115" t="s">
        <v>15</v>
      </c>
      <c r="D115">
        <v>16</v>
      </c>
      <c r="E115">
        <v>80</v>
      </c>
      <c r="F115" s="2">
        <v>0.04</v>
      </c>
    </row>
    <row r="116" spans="1:6" x14ac:dyDescent="0.3">
      <c r="A116" s="1">
        <v>43294</v>
      </c>
      <c r="B116" t="s">
        <v>8</v>
      </c>
      <c r="C116" t="s">
        <v>12</v>
      </c>
      <c r="D116">
        <v>4</v>
      </c>
      <c r="E116">
        <v>40</v>
      </c>
      <c r="F116" s="2">
        <v>0.12</v>
      </c>
    </row>
    <row r="117" spans="1:6" x14ac:dyDescent="0.3">
      <c r="A117" s="1">
        <v>43294</v>
      </c>
      <c r="B117" t="s">
        <v>9</v>
      </c>
      <c r="C117" t="s">
        <v>11</v>
      </c>
      <c r="D117">
        <v>22</v>
      </c>
      <c r="E117">
        <v>16</v>
      </c>
      <c r="F117" s="2">
        <v>0.01</v>
      </c>
    </row>
    <row r="118" spans="1:6" x14ac:dyDescent="0.3">
      <c r="A118" s="1">
        <v>43294</v>
      </c>
      <c r="B118" t="s">
        <v>8</v>
      </c>
      <c r="C118" t="s">
        <v>14</v>
      </c>
      <c r="D118">
        <v>18</v>
      </c>
      <c r="E118">
        <v>40</v>
      </c>
      <c r="F118" s="2">
        <v>0.06</v>
      </c>
    </row>
    <row r="119" spans="1:6" x14ac:dyDescent="0.3">
      <c r="A119" s="1">
        <v>43294</v>
      </c>
      <c r="B119" t="s">
        <v>10</v>
      </c>
      <c r="C119" t="s">
        <v>15</v>
      </c>
      <c r="D119">
        <v>6</v>
      </c>
      <c r="E119">
        <v>80</v>
      </c>
      <c r="F119" s="2">
        <v>0.01</v>
      </c>
    </row>
    <row r="120" spans="1:6" x14ac:dyDescent="0.3">
      <c r="A120" s="1">
        <v>43294</v>
      </c>
      <c r="B120" t="s">
        <v>6</v>
      </c>
      <c r="C120" t="s">
        <v>15</v>
      </c>
      <c r="D120">
        <v>2</v>
      </c>
      <c r="E120">
        <v>230</v>
      </c>
      <c r="F120" s="2">
        <v>0.09</v>
      </c>
    </row>
    <row r="121" spans="1:6" x14ac:dyDescent="0.3">
      <c r="A121" s="1">
        <v>43295</v>
      </c>
      <c r="B121" t="s">
        <v>7</v>
      </c>
      <c r="C121" t="s">
        <v>13</v>
      </c>
      <c r="D121">
        <v>11</v>
      </c>
      <c r="E121">
        <v>150</v>
      </c>
      <c r="F121" s="2">
        <v>0.09</v>
      </c>
    </row>
    <row r="122" spans="1:6" x14ac:dyDescent="0.3">
      <c r="A122" s="1">
        <v>43295</v>
      </c>
      <c r="B122" t="s">
        <v>7</v>
      </c>
      <c r="C122" t="s">
        <v>14</v>
      </c>
      <c r="D122">
        <v>15</v>
      </c>
      <c r="E122">
        <v>150</v>
      </c>
      <c r="F122" s="2">
        <v>0.08</v>
      </c>
    </row>
    <row r="123" spans="1:6" x14ac:dyDescent="0.3">
      <c r="A123" s="1">
        <v>43295</v>
      </c>
      <c r="B123" t="s">
        <v>10</v>
      </c>
      <c r="C123" t="s">
        <v>11</v>
      </c>
      <c r="D123">
        <v>17</v>
      </c>
      <c r="E123">
        <v>80</v>
      </c>
      <c r="F123" s="2">
        <v>0.09</v>
      </c>
    </row>
    <row r="124" spans="1:6" x14ac:dyDescent="0.3">
      <c r="A124" s="1">
        <v>43295</v>
      </c>
      <c r="B124" t="s">
        <v>7</v>
      </c>
      <c r="C124" t="s">
        <v>13</v>
      </c>
      <c r="D124">
        <v>13</v>
      </c>
      <c r="E124">
        <v>150</v>
      </c>
      <c r="F124" s="2">
        <v>0.11</v>
      </c>
    </row>
    <row r="125" spans="1:6" x14ac:dyDescent="0.3">
      <c r="A125" s="1">
        <v>43295</v>
      </c>
      <c r="B125" t="s">
        <v>8</v>
      </c>
      <c r="C125" t="s">
        <v>14</v>
      </c>
      <c r="D125">
        <v>7</v>
      </c>
      <c r="E125">
        <v>40</v>
      </c>
      <c r="F125" s="2">
        <v>7.0000000000000007E-2</v>
      </c>
    </row>
    <row r="126" spans="1:6" x14ac:dyDescent="0.3">
      <c r="A126" s="1">
        <v>43295</v>
      </c>
      <c r="B126" t="s">
        <v>6</v>
      </c>
      <c r="C126" t="s">
        <v>14</v>
      </c>
      <c r="D126">
        <v>3</v>
      </c>
      <c r="E126">
        <v>230</v>
      </c>
      <c r="F126" s="2">
        <v>0.01</v>
      </c>
    </row>
    <row r="127" spans="1:6" x14ac:dyDescent="0.3">
      <c r="A127" s="1">
        <v>43295</v>
      </c>
      <c r="B127" t="s">
        <v>8</v>
      </c>
      <c r="C127" t="s">
        <v>15</v>
      </c>
      <c r="D127">
        <v>12</v>
      </c>
      <c r="E127">
        <v>40</v>
      </c>
      <c r="F127" s="2">
        <v>0.02</v>
      </c>
    </row>
    <row r="128" spans="1:6" x14ac:dyDescent="0.3">
      <c r="A128" s="1">
        <v>43295</v>
      </c>
      <c r="B128" t="s">
        <v>7</v>
      </c>
      <c r="C128" t="s">
        <v>15</v>
      </c>
      <c r="D128">
        <v>11</v>
      </c>
      <c r="E128">
        <v>150</v>
      </c>
      <c r="F128" s="2">
        <v>0.11</v>
      </c>
    </row>
    <row r="129" spans="1:6" x14ac:dyDescent="0.3">
      <c r="A129" s="1">
        <v>43295</v>
      </c>
      <c r="B129" t="s">
        <v>8</v>
      </c>
      <c r="C129" t="s">
        <v>12</v>
      </c>
      <c r="D129">
        <v>21</v>
      </c>
      <c r="E129">
        <v>40</v>
      </c>
      <c r="F129" s="2">
        <v>0.03</v>
      </c>
    </row>
    <row r="130" spans="1:6" x14ac:dyDescent="0.3">
      <c r="A130" s="1">
        <v>43295</v>
      </c>
      <c r="B130" t="s">
        <v>7</v>
      </c>
      <c r="C130" t="s">
        <v>11</v>
      </c>
      <c r="D130">
        <v>22</v>
      </c>
      <c r="E130">
        <v>150</v>
      </c>
      <c r="F130" s="2">
        <v>7.0000000000000007E-2</v>
      </c>
    </row>
    <row r="131" spans="1:6" x14ac:dyDescent="0.3">
      <c r="A131" s="1">
        <v>43295</v>
      </c>
      <c r="B131" t="s">
        <v>8</v>
      </c>
      <c r="C131" t="s">
        <v>15</v>
      </c>
      <c r="D131">
        <v>20</v>
      </c>
      <c r="E131">
        <v>40</v>
      </c>
      <c r="F131" s="2">
        <v>0.01</v>
      </c>
    </row>
    <row r="132" spans="1:6" x14ac:dyDescent="0.3">
      <c r="A132" s="1">
        <v>43296</v>
      </c>
      <c r="B132" t="s">
        <v>9</v>
      </c>
      <c r="C132" t="s">
        <v>13</v>
      </c>
      <c r="D132">
        <v>22</v>
      </c>
      <c r="E132">
        <v>16</v>
      </c>
      <c r="F132" s="2">
        <v>0.12</v>
      </c>
    </row>
    <row r="133" spans="1:6" x14ac:dyDescent="0.3">
      <c r="A133" s="1">
        <v>43296</v>
      </c>
      <c r="B133" t="s">
        <v>8</v>
      </c>
      <c r="C133" t="s">
        <v>15</v>
      </c>
      <c r="D133">
        <v>4</v>
      </c>
      <c r="E133">
        <v>40</v>
      </c>
      <c r="F133" s="2">
        <v>0.1</v>
      </c>
    </row>
    <row r="134" spans="1:6" x14ac:dyDescent="0.3">
      <c r="A134" s="1">
        <v>43296</v>
      </c>
      <c r="B134" t="s">
        <v>6</v>
      </c>
      <c r="C134" t="s">
        <v>14</v>
      </c>
      <c r="D134">
        <v>2</v>
      </c>
      <c r="E134">
        <v>230</v>
      </c>
      <c r="F134" s="2">
        <v>0.09</v>
      </c>
    </row>
    <row r="135" spans="1:6" x14ac:dyDescent="0.3">
      <c r="A135" s="1">
        <v>43296</v>
      </c>
      <c r="B135" t="s">
        <v>8</v>
      </c>
      <c r="C135" t="s">
        <v>11</v>
      </c>
      <c r="D135">
        <v>22</v>
      </c>
      <c r="E135">
        <v>40</v>
      </c>
      <c r="F135" s="2">
        <v>0.02</v>
      </c>
    </row>
    <row r="136" spans="1:6" x14ac:dyDescent="0.3">
      <c r="A136" s="1">
        <v>43296</v>
      </c>
      <c r="B136" t="s">
        <v>8</v>
      </c>
      <c r="C136" t="s">
        <v>12</v>
      </c>
      <c r="D136">
        <v>4</v>
      </c>
      <c r="E136">
        <v>40</v>
      </c>
      <c r="F136" s="2">
        <v>0.03</v>
      </c>
    </row>
    <row r="137" spans="1:6" x14ac:dyDescent="0.3">
      <c r="A137" s="1">
        <v>43296</v>
      </c>
      <c r="B137" t="s">
        <v>9</v>
      </c>
      <c r="C137" t="s">
        <v>12</v>
      </c>
      <c r="D137">
        <v>5</v>
      </c>
      <c r="E137">
        <v>16</v>
      </c>
      <c r="F137" s="2">
        <v>0.11</v>
      </c>
    </row>
    <row r="138" spans="1:6" x14ac:dyDescent="0.3">
      <c r="A138" s="1">
        <v>43296</v>
      </c>
      <c r="B138" t="s">
        <v>10</v>
      </c>
      <c r="C138" t="s">
        <v>14</v>
      </c>
      <c r="D138">
        <v>2</v>
      </c>
      <c r="E138">
        <v>80</v>
      </c>
      <c r="F138" s="2">
        <v>0.08</v>
      </c>
    </row>
    <row r="139" spans="1:6" x14ac:dyDescent="0.3">
      <c r="A139" s="1">
        <v>43296</v>
      </c>
      <c r="B139" t="s">
        <v>9</v>
      </c>
      <c r="C139" t="s">
        <v>15</v>
      </c>
      <c r="D139">
        <v>9</v>
      </c>
      <c r="E139">
        <v>16</v>
      </c>
      <c r="F139" s="2">
        <v>0.05</v>
      </c>
    </row>
    <row r="140" spans="1:6" x14ac:dyDescent="0.3">
      <c r="A140" s="1">
        <v>43296</v>
      </c>
      <c r="B140" t="s">
        <v>6</v>
      </c>
      <c r="C140" t="s">
        <v>15</v>
      </c>
      <c r="D140">
        <v>6</v>
      </c>
      <c r="E140">
        <v>230</v>
      </c>
      <c r="F140" s="2">
        <v>0.05</v>
      </c>
    </row>
    <row r="141" spans="1:6" x14ac:dyDescent="0.3">
      <c r="A141" s="1">
        <v>43296</v>
      </c>
      <c r="B141" t="s">
        <v>7</v>
      </c>
      <c r="C141" t="s">
        <v>14</v>
      </c>
      <c r="D141">
        <v>22</v>
      </c>
      <c r="E141">
        <v>150</v>
      </c>
      <c r="F141" s="2">
        <v>0.05</v>
      </c>
    </row>
    <row r="142" spans="1:6" x14ac:dyDescent="0.3">
      <c r="A142" s="1">
        <v>43297</v>
      </c>
      <c r="B142" t="s">
        <v>6</v>
      </c>
      <c r="C142" t="s">
        <v>14</v>
      </c>
      <c r="D142">
        <v>8</v>
      </c>
      <c r="E142">
        <v>230</v>
      </c>
      <c r="F142" s="2">
        <v>0.01</v>
      </c>
    </row>
    <row r="143" spans="1:6" x14ac:dyDescent="0.3">
      <c r="A143" s="1">
        <v>43297</v>
      </c>
      <c r="B143" t="s">
        <v>7</v>
      </c>
      <c r="C143" t="s">
        <v>11</v>
      </c>
      <c r="D143">
        <v>22</v>
      </c>
      <c r="E143">
        <v>150</v>
      </c>
      <c r="F143" s="2">
        <v>0.05</v>
      </c>
    </row>
    <row r="144" spans="1:6" x14ac:dyDescent="0.3">
      <c r="A144" s="1">
        <v>43297</v>
      </c>
      <c r="B144" t="s">
        <v>8</v>
      </c>
      <c r="C144" t="s">
        <v>11</v>
      </c>
      <c r="D144">
        <v>5</v>
      </c>
      <c r="E144">
        <v>40</v>
      </c>
      <c r="F144" s="2">
        <v>0.06</v>
      </c>
    </row>
    <row r="145" spans="1:6" x14ac:dyDescent="0.3">
      <c r="A145" s="1">
        <v>43297</v>
      </c>
      <c r="B145" t="s">
        <v>7</v>
      </c>
      <c r="C145" t="s">
        <v>14</v>
      </c>
      <c r="D145">
        <v>20</v>
      </c>
      <c r="E145">
        <v>150</v>
      </c>
      <c r="F145" s="2">
        <v>0.1</v>
      </c>
    </row>
    <row r="146" spans="1:6" x14ac:dyDescent="0.3">
      <c r="A146" s="1">
        <v>43297</v>
      </c>
      <c r="B146" t="s">
        <v>10</v>
      </c>
      <c r="C146" t="s">
        <v>14</v>
      </c>
      <c r="D146">
        <v>22</v>
      </c>
      <c r="E146">
        <v>80</v>
      </c>
      <c r="F146" s="2">
        <v>0.03</v>
      </c>
    </row>
    <row r="147" spans="1:6" x14ac:dyDescent="0.3">
      <c r="A147" s="1">
        <v>43297</v>
      </c>
      <c r="B147" t="s">
        <v>9</v>
      </c>
      <c r="C147" t="s">
        <v>11</v>
      </c>
      <c r="D147">
        <v>11</v>
      </c>
      <c r="E147">
        <v>16</v>
      </c>
      <c r="F147" s="2">
        <v>0.09</v>
      </c>
    </row>
    <row r="148" spans="1:6" x14ac:dyDescent="0.3">
      <c r="A148" s="1">
        <v>43297</v>
      </c>
      <c r="B148" t="s">
        <v>9</v>
      </c>
      <c r="C148" t="s">
        <v>12</v>
      </c>
      <c r="D148">
        <v>22</v>
      </c>
      <c r="E148">
        <v>16</v>
      </c>
      <c r="F148" s="2">
        <v>0.01</v>
      </c>
    </row>
    <row r="149" spans="1:6" x14ac:dyDescent="0.3">
      <c r="A149" s="1">
        <v>43297</v>
      </c>
      <c r="B149" t="s">
        <v>8</v>
      </c>
      <c r="C149" t="s">
        <v>12</v>
      </c>
      <c r="D149">
        <v>23</v>
      </c>
      <c r="E149">
        <v>40</v>
      </c>
      <c r="F149" s="2">
        <v>0.06</v>
      </c>
    </row>
    <row r="150" spans="1:6" x14ac:dyDescent="0.3">
      <c r="A150" s="1">
        <v>43297</v>
      </c>
      <c r="B150" t="s">
        <v>10</v>
      </c>
      <c r="C150" t="s">
        <v>15</v>
      </c>
      <c r="D150">
        <v>14</v>
      </c>
      <c r="E150">
        <v>80</v>
      </c>
      <c r="F150" s="2">
        <v>0.1</v>
      </c>
    </row>
    <row r="151" spans="1:6" x14ac:dyDescent="0.3">
      <c r="A151" s="1">
        <v>43297</v>
      </c>
      <c r="B151" t="s">
        <v>8</v>
      </c>
      <c r="C151" t="s">
        <v>11</v>
      </c>
      <c r="D151">
        <v>18</v>
      </c>
      <c r="E151">
        <v>40</v>
      </c>
      <c r="F151" s="2">
        <v>0.06</v>
      </c>
    </row>
    <row r="152" spans="1:6" x14ac:dyDescent="0.3">
      <c r="A152" s="1">
        <v>43298</v>
      </c>
      <c r="B152" t="s">
        <v>7</v>
      </c>
      <c r="C152" t="s">
        <v>14</v>
      </c>
      <c r="D152">
        <v>7</v>
      </c>
      <c r="E152">
        <v>150</v>
      </c>
      <c r="F152" s="2">
        <v>0.05</v>
      </c>
    </row>
    <row r="153" spans="1:6" x14ac:dyDescent="0.3">
      <c r="A153" s="1">
        <v>43298</v>
      </c>
      <c r="B153" t="s">
        <v>8</v>
      </c>
      <c r="C153" t="s">
        <v>14</v>
      </c>
      <c r="D153">
        <v>15</v>
      </c>
      <c r="E153">
        <v>40</v>
      </c>
      <c r="F153" s="2">
        <v>0.03</v>
      </c>
    </row>
    <row r="154" spans="1:6" x14ac:dyDescent="0.3">
      <c r="A154" s="1">
        <v>43298</v>
      </c>
      <c r="B154" t="s">
        <v>9</v>
      </c>
      <c r="C154" t="s">
        <v>11</v>
      </c>
      <c r="D154">
        <v>7</v>
      </c>
      <c r="E154">
        <v>16</v>
      </c>
      <c r="F154" s="2">
        <v>0.02</v>
      </c>
    </row>
    <row r="155" spans="1:6" x14ac:dyDescent="0.3">
      <c r="A155" s="1">
        <v>43298</v>
      </c>
      <c r="B155" t="s">
        <v>9</v>
      </c>
      <c r="C155" t="s">
        <v>14</v>
      </c>
      <c r="D155">
        <v>15</v>
      </c>
      <c r="E155">
        <v>16</v>
      </c>
      <c r="F155" s="2">
        <v>0.12</v>
      </c>
    </row>
    <row r="156" spans="1:6" x14ac:dyDescent="0.3">
      <c r="A156" s="1">
        <v>43298</v>
      </c>
      <c r="B156" t="s">
        <v>8</v>
      </c>
      <c r="C156" t="s">
        <v>11</v>
      </c>
      <c r="D156">
        <v>5</v>
      </c>
      <c r="E156">
        <v>40</v>
      </c>
      <c r="F156" s="2">
        <v>0.09</v>
      </c>
    </row>
    <row r="157" spans="1:6" x14ac:dyDescent="0.3">
      <c r="A157" s="1">
        <v>43298</v>
      </c>
      <c r="B157" t="s">
        <v>8</v>
      </c>
      <c r="C157" t="s">
        <v>13</v>
      </c>
      <c r="D157">
        <v>20</v>
      </c>
      <c r="E157">
        <v>40</v>
      </c>
      <c r="F157" s="2">
        <v>0.03</v>
      </c>
    </row>
    <row r="158" spans="1:6" x14ac:dyDescent="0.3">
      <c r="A158" s="1">
        <v>43298</v>
      </c>
      <c r="B158" t="s">
        <v>6</v>
      </c>
      <c r="C158" t="s">
        <v>14</v>
      </c>
      <c r="D158">
        <v>11</v>
      </c>
      <c r="E158">
        <v>230</v>
      </c>
      <c r="F158" s="2">
        <v>0.12</v>
      </c>
    </row>
    <row r="159" spans="1:6" x14ac:dyDescent="0.3">
      <c r="A159" s="1">
        <v>43298</v>
      </c>
      <c r="B159" t="s">
        <v>9</v>
      </c>
      <c r="C159" t="s">
        <v>13</v>
      </c>
      <c r="D159">
        <v>17</v>
      </c>
      <c r="E159">
        <v>16</v>
      </c>
      <c r="F159" s="2">
        <v>0.08</v>
      </c>
    </row>
    <row r="160" spans="1:6" x14ac:dyDescent="0.3">
      <c r="A160" s="1">
        <v>43299</v>
      </c>
      <c r="B160" t="s">
        <v>9</v>
      </c>
      <c r="C160" t="s">
        <v>11</v>
      </c>
      <c r="D160">
        <v>18</v>
      </c>
      <c r="E160">
        <v>16</v>
      </c>
      <c r="F160" s="2">
        <v>0.11</v>
      </c>
    </row>
    <row r="161" spans="1:6" x14ac:dyDescent="0.3">
      <c r="A161" s="1">
        <v>43299</v>
      </c>
      <c r="B161" t="s">
        <v>6</v>
      </c>
      <c r="C161" t="s">
        <v>14</v>
      </c>
      <c r="D161">
        <v>2</v>
      </c>
      <c r="E161">
        <v>230</v>
      </c>
      <c r="F161" s="2">
        <v>0.08</v>
      </c>
    </row>
    <row r="162" spans="1:6" x14ac:dyDescent="0.3">
      <c r="A162" s="1">
        <v>43299</v>
      </c>
      <c r="B162" t="s">
        <v>9</v>
      </c>
      <c r="C162" t="s">
        <v>15</v>
      </c>
      <c r="D162">
        <v>17</v>
      </c>
      <c r="E162">
        <v>16</v>
      </c>
      <c r="F162" s="2">
        <v>0.05</v>
      </c>
    </row>
    <row r="163" spans="1:6" x14ac:dyDescent="0.3">
      <c r="A163" s="1">
        <v>43299</v>
      </c>
      <c r="B163" t="s">
        <v>10</v>
      </c>
      <c r="C163" t="s">
        <v>14</v>
      </c>
      <c r="D163">
        <v>16</v>
      </c>
      <c r="E163">
        <v>80</v>
      </c>
      <c r="F163" s="2">
        <v>0.05</v>
      </c>
    </row>
    <row r="164" spans="1:6" x14ac:dyDescent="0.3">
      <c r="A164" s="1">
        <v>43299</v>
      </c>
      <c r="B164" t="s">
        <v>6</v>
      </c>
      <c r="C164" t="s">
        <v>12</v>
      </c>
      <c r="D164">
        <v>14</v>
      </c>
      <c r="E164">
        <v>230</v>
      </c>
      <c r="F164" s="2">
        <v>0.05</v>
      </c>
    </row>
    <row r="165" spans="1:6" x14ac:dyDescent="0.3">
      <c r="A165" s="1">
        <v>43299</v>
      </c>
      <c r="B165" t="s">
        <v>8</v>
      </c>
      <c r="C165" t="s">
        <v>15</v>
      </c>
      <c r="D165">
        <v>13</v>
      </c>
      <c r="E165">
        <v>40</v>
      </c>
      <c r="F165" s="2">
        <v>0.02</v>
      </c>
    </row>
    <row r="166" spans="1:6" x14ac:dyDescent="0.3">
      <c r="A166" s="1">
        <v>43299</v>
      </c>
      <c r="B166" t="s">
        <v>6</v>
      </c>
      <c r="C166" t="s">
        <v>12</v>
      </c>
      <c r="D166">
        <v>7</v>
      </c>
      <c r="E166">
        <v>230</v>
      </c>
      <c r="F166" s="2">
        <v>0.08</v>
      </c>
    </row>
    <row r="167" spans="1:6" x14ac:dyDescent="0.3">
      <c r="A167" s="1">
        <v>43299</v>
      </c>
      <c r="B167" t="s">
        <v>8</v>
      </c>
      <c r="C167" t="s">
        <v>14</v>
      </c>
      <c r="D167">
        <v>7</v>
      </c>
      <c r="E167">
        <v>40</v>
      </c>
      <c r="F167" s="2">
        <v>0.11</v>
      </c>
    </row>
    <row r="168" spans="1:6" x14ac:dyDescent="0.3">
      <c r="A168" s="1">
        <v>43299</v>
      </c>
      <c r="B168" t="s">
        <v>6</v>
      </c>
      <c r="C168" t="s">
        <v>15</v>
      </c>
      <c r="D168">
        <v>12</v>
      </c>
      <c r="E168">
        <v>230</v>
      </c>
      <c r="F168" s="2">
        <v>0.06</v>
      </c>
    </row>
    <row r="169" spans="1:6" x14ac:dyDescent="0.3">
      <c r="A169" s="1">
        <v>43299</v>
      </c>
      <c r="B169" t="s">
        <v>8</v>
      </c>
      <c r="C169" t="s">
        <v>11</v>
      </c>
      <c r="D169">
        <v>19</v>
      </c>
      <c r="E169">
        <v>40</v>
      </c>
      <c r="F169" s="2">
        <v>0.04</v>
      </c>
    </row>
    <row r="170" spans="1:6" x14ac:dyDescent="0.3">
      <c r="A170" s="1">
        <v>43300</v>
      </c>
      <c r="B170" t="s">
        <v>6</v>
      </c>
      <c r="C170" t="s">
        <v>15</v>
      </c>
      <c r="D170">
        <v>20</v>
      </c>
      <c r="E170">
        <v>230</v>
      </c>
      <c r="F170" s="2">
        <v>0.06</v>
      </c>
    </row>
    <row r="171" spans="1:6" x14ac:dyDescent="0.3">
      <c r="A171" s="1">
        <v>43300</v>
      </c>
      <c r="B171" t="s">
        <v>8</v>
      </c>
      <c r="C171" t="s">
        <v>13</v>
      </c>
      <c r="D171">
        <v>23</v>
      </c>
      <c r="E171">
        <v>40</v>
      </c>
      <c r="F171" s="2">
        <v>0.04</v>
      </c>
    </row>
    <row r="172" spans="1:6" x14ac:dyDescent="0.3">
      <c r="A172" s="1">
        <v>43300</v>
      </c>
      <c r="B172" t="s">
        <v>10</v>
      </c>
      <c r="C172" t="s">
        <v>13</v>
      </c>
      <c r="D172">
        <v>16</v>
      </c>
      <c r="E172">
        <v>80</v>
      </c>
      <c r="F172" s="2">
        <v>0.05</v>
      </c>
    </row>
    <row r="173" spans="1:6" x14ac:dyDescent="0.3">
      <c r="A173" s="1">
        <v>43300</v>
      </c>
      <c r="B173" t="s">
        <v>7</v>
      </c>
      <c r="C173" t="s">
        <v>12</v>
      </c>
      <c r="D173">
        <v>23</v>
      </c>
      <c r="E173">
        <v>150</v>
      </c>
      <c r="F173" s="2">
        <v>0.11</v>
      </c>
    </row>
    <row r="174" spans="1:6" x14ac:dyDescent="0.3">
      <c r="A174" s="1">
        <v>43300</v>
      </c>
      <c r="B174" t="s">
        <v>9</v>
      </c>
      <c r="C174" t="s">
        <v>12</v>
      </c>
      <c r="D174">
        <v>4</v>
      </c>
      <c r="E174">
        <v>16</v>
      </c>
      <c r="F174" s="2">
        <v>7.0000000000000007E-2</v>
      </c>
    </row>
    <row r="175" spans="1:6" x14ac:dyDescent="0.3">
      <c r="A175" s="1">
        <v>43300</v>
      </c>
      <c r="B175" t="s">
        <v>6</v>
      </c>
      <c r="C175" t="s">
        <v>11</v>
      </c>
      <c r="D175">
        <v>8</v>
      </c>
      <c r="E175">
        <v>230</v>
      </c>
      <c r="F175" s="2">
        <v>0.03</v>
      </c>
    </row>
    <row r="176" spans="1:6" x14ac:dyDescent="0.3">
      <c r="A176" s="1">
        <v>43300</v>
      </c>
      <c r="B176" t="s">
        <v>10</v>
      </c>
      <c r="C176" t="s">
        <v>12</v>
      </c>
      <c r="D176">
        <v>17</v>
      </c>
      <c r="E176">
        <v>80</v>
      </c>
      <c r="F176" s="2">
        <v>0.03</v>
      </c>
    </row>
    <row r="177" spans="1:6" x14ac:dyDescent="0.3">
      <c r="A177" s="1">
        <v>43300</v>
      </c>
      <c r="B177" t="s">
        <v>10</v>
      </c>
      <c r="C177" t="s">
        <v>14</v>
      </c>
      <c r="D177">
        <v>10</v>
      </c>
      <c r="E177">
        <v>80</v>
      </c>
      <c r="F177" s="2">
        <v>0.1</v>
      </c>
    </row>
    <row r="178" spans="1:6" x14ac:dyDescent="0.3">
      <c r="A178" s="1">
        <v>43300</v>
      </c>
      <c r="B178" t="s">
        <v>9</v>
      </c>
      <c r="C178" t="s">
        <v>11</v>
      </c>
      <c r="D178">
        <v>20</v>
      </c>
      <c r="E178">
        <v>16</v>
      </c>
      <c r="F178" s="2">
        <v>0.11</v>
      </c>
    </row>
    <row r="179" spans="1:6" x14ac:dyDescent="0.3">
      <c r="A179" s="1">
        <v>43301</v>
      </c>
      <c r="B179" t="s">
        <v>6</v>
      </c>
      <c r="C179" t="s">
        <v>14</v>
      </c>
      <c r="D179">
        <v>19</v>
      </c>
      <c r="E179">
        <v>230</v>
      </c>
      <c r="F179" s="2">
        <v>0.06</v>
      </c>
    </row>
    <row r="180" spans="1:6" x14ac:dyDescent="0.3">
      <c r="A180" s="1">
        <v>43301</v>
      </c>
      <c r="B180" t="s">
        <v>8</v>
      </c>
      <c r="C180" t="s">
        <v>15</v>
      </c>
      <c r="D180">
        <v>18</v>
      </c>
      <c r="E180">
        <v>40</v>
      </c>
      <c r="F180" s="2">
        <v>0.03</v>
      </c>
    </row>
    <row r="181" spans="1:6" x14ac:dyDescent="0.3">
      <c r="A181" s="1">
        <v>43301</v>
      </c>
      <c r="B181" t="s">
        <v>10</v>
      </c>
      <c r="C181" t="s">
        <v>12</v>
      </c>
      <c r="D181">
        <v>16</v>
      </c>
      <c r="E181">
        <v>80</v>
      </c>
      <c r="F181" s="2">
        <v>0.04</v>
      </c>
    </row>
    <row r="182" spans="1:6" x14ac:dyDescent="0.3">
      <c r="A182" s="1">
        <v>43301</v>
      </c>
      <c r="B182" t="s">
        <v>10</v>
      </c>
      <c r="C182" t="s">
        <v>14</v>
      </c>
      <c r="D182">
        <v>8</v>
      </c>
      <c r="E182">
        <v>80</v>
      </c>
      <c r="F182" s="2">
        <v>0.06</v>
      </c>
    </row>
    <row r="183" spans="1:6" x14ac:dyDescent="0.3">
      <c r="A183" s="1">
        <v>43301</v>
      </c>
      <c r="B183" t="s">
        <v>7</v>
      </c>
      <c r="C183" t="s">
        <v>14</v>
      </c>
      <c r="D183">
        <v>4</v>
      </c>
      <c r="E183">
        <v>150</v>
      </c>
      <c r="F183" s="2">
        <v>0.12</v>
      </c>
    </row>
    <row r="184" spans="1:6" x14ac:dyDescent="0.3">
      <c r="A184" s="1">
        <v>43301</v>
      </c>
      <c r="B184" t="s">
        <v>6</v>
      </c>
      <c r="C184" t="s">
        <v>15</v>
      </c>
      <c r="D184">
        <v>15</v>
      </c>
      <c r="E184">
        <v>230</v>
      </c>
      <c r="F184" s="2">
        <v>0.04</v>
      </c>
    </row>
    <row r="185" spans="1:6" x14ac:dyDescent="0.3">
      <c r="A185" s="1">
        <v>43302</v>
      </c>
      <c r="B185" t="s">
        <v>9</v>
      </c>
      <c r="C185" t="s">
        <v>12</v>
      </c>
      <c r="D185">
        <v>7</v>
      </c>
      <c r="E185">
        <v>16</v>
      </c>
      <c r="F185" s="2">
        <v>0.08</v>
      </c>
    </row>
    <row r="186" spans="1:6" x14ac:dyDescent="0.3">
      <c r="A186" s="1">
        <v>43302</v>
      </c>
      <c r="B186" t="s">
        <v>8</v>
      </c>
      <c r="C186" t="s">
        <v>11</v>
      </c>
      <c r="D186">
        <v>18</v>
      </c>
      <c r="E186">
        <v>40</v>
      </c>
      <c r="F186" s="2">
        <v>0.11</v>
      </c>
    </row>
    <row r="187" spans="1:6" x14ac:dyDescent="0.3">
      <c r="A187" s="1">
        <v>43302</v>
      </c>
      <c r="B187" t="s">
        <v>8</v>
      </c>
      <c r="C187" t="s">
        <v>15</v>
      </c>
      <c r="D187">
        <v>4</v>
      </c>
      <c r="E187">
        <v>40</v>
      </c>
      <c r="F187" s="2">
        <v>0.06</v>
      </c>
    </row>
    <row r="188" spans="1:6" x14ac:dyDescent="0.3">
      <c r="A188" s="1">
        <v>43302</v>
      </c>
      <c r="B188" t="s">
        <v>8</v>
      </c>
      <c r="C188" t="s">
        <v>13</v>
      </c>
      <c r="D188">
        <v>16</v>
      </c>
      <c r="E188">
        <v>40</v>
      </c>
      <c r="F188" s="2">
        <v>0.09</v>
      </c>
    </row>
    <row r="189" spans="1:6" x14ac:dyDescent="0.3">
      <c r="A189" s="1">
        <v>43302</v>
      </c>
      <c r="B189" t="s">
        <v>8</v>
      </c>
      <c r="C189" t="s">
        <v>12</v>
      </c>
      <c r="D189">
        <v>18</v>
      </c>
      <c r="E189">
        <v>40</v>
      </c>
      <c r="F189" s="2">
        <v>0.08</v>
      </c>
    </row>
    <row r="190" spans="1:6" x14ac:dyDescent="0.3">
      <c r="A190" s="1">
        <v>43302</v>
      </c>
      <c r="B190" t="s">
        <v>8</v>
      </c>
      <c r="C190" t="s">
        <v>11</v>
      </c>
      <c r="D190">
        <v>9</v>
      </c>
      <c r="E190">
        <v>40</v>
      </c>
      <c r="F190" s="2">
        <v>0.01</v>
      </c>
    </row>
    <row r="191" spans="1:6" x14ac:dyDescent="0.3">
      <c r="A191" s="1">
        <v>43302</v>
      </c>
      <c r="B191" t="s">
        <v>6</v>
      </c>
      <c r="C191" t="s">
        <v>14</v>
      </c>
      <c r="D191">
        <v>16</v>
      </c>
      <c r="E191">
        <v>230</v>
      </c>
      <c r="F191" s="2">
        <v>0.11</v>
      </c>
    </row>
    <row r="192" spans="1:6" x14ac:dyDescent="0.3">
      <c r="A192" s="1">
        <v>43302</v>
      </c>
      <c r="B192" t="s">
        <v>9</v>
      </c>
      <c r="C192" t="s">
        <v>15</v>
      </c>
      <c r="D192">
        <v>12</v>
      </c>
      <c r="E192">
        <v>16</v>
      </c>
      <c r="F192" s="2">
        <v>0.11</v>
      </c>
    </row>
    <row r="193" spans="1:6" x14ac:dyDescent="0.3">
      <c r="A193" s="1">
        <v>43302</v>
      </c>
      <c r="B193" t="s">
        <v>10</v>
      </c>
      <c r="C193" t="s">
        <v>12</v>
      </c>
      <c r="D193">
        <v>2</v>
      </c>
      <c r="E193">
        <v>80</v>
      </c>
      <c r="F193" s="2">
        <v>7.0000000000000007E-2</v>
      </c>
    </row>
    <row r="194" spans="1:6" x14ac:dyDescent="0.3">
      <c r="A194" s="1">
        <v>43302</v>
      </c>
      <c r="B194" t="s">
        <v>8</v>
      </c>
      <c r="C194" t="s">
        <v>11</v>
      </c>
      <c r="D194">
        <v>2</v>
      </c>
      <c r="E194">
        <v>40</v>
      </c>
      <c r="F194" s="2">
        <v>0.12</v>
      </c>
    </row>
    <row r="195" spans="1:6" x14ac:dyDescent="0.3">
      <c r="A195" s="1">
        <v>43303</v>
      </c>
      <c r="B195" t="s">
        <v>7</v>
      </c>
      <c r="C195" t="s">
        <v>11</v>
      </c>
      <c r="D195">
        <v>13</v>
      </c>
      <c r="E195">
        <v>150</v>
      </c>
      <c r="F195" s="2">
        <v>0.05</v>
      </c>
    </row>
    <row r="196" spans="1:6" x14ac:dyDescent="0.3">
      <c r="A196" s="1">
        <v>43303</v>
      </c>
      <c r="B196" t="s">
        <v>10</v>
      </c>
      <c r="C196" t="s">
        <v>11</v>
      </c>
      <c r="D196">
        <v>14</v>
      </c>
      <c r="E196">
        <v>80</v>
      </c>
      <c r="F196" s="2">
        <v>0.08</v>
      </c>
    </row>
    <row r="197" spans="1:6" x14ac:dyDescent="0.3">
      <c r="A197" s="1">
        <v>43303</v>
      </c>
      <c r="B197" t="s">
        <v>7</v>
      </c>
      <c r="C197" t="s">
        <v>14</v>
      </c>
      <c r="D197">
        <v>6</v>
      </c>
      <c r="E197">
        <v>150</v>
      </c>
      <c r="F197" s="2">
        <v>0.03</v>
      </c>
    </row>
    <row r="198" spans="1:6" x14ac:dyDescent="0.3">
      <c r="A198" s="1">
        <v>43303</v>
      </c>
      <c r="B198" t="s">
        <v>10</v>
      </c>
      <c r="C198" t="s">
        <v>14</v>
      </c>
      <c r="D198">
        <v>23</v>
      </c>
      <c r="E198">
        <v>80</v>
      </c>
      <c r="F198" s="2">
        <v>0.11</v>
      </c>
    </row>
    <row r="199" spans="1:6" x14ac:dyDescent="0.3">
      <c r="A199" s="1">
        <v>43303</v>
      </c>
      <c r="B199" t="s">
        <v>10</v>
      </c>
      <c r="C199" t="s">
        <v>14</v>
      </c>
      <c r="D199">
        <v>21</v>
      </c>
      <c r="E199">
        <v>80</v>
      </c>
      <c r="F199" s="2">
        <v>0.05</v>
      </c>
    </row>
    <row r="200" spans="1:6" x14ac:dyDescent="0.3">
      <c r="A200" s="1">
        <v>43303</v>
      </c>
      <c r="B200" t="s">
        <v>9</v>
      </c>
      <c r="C200" t="s">
        <v>15</v>
      </c>
      <c r="D200">
        <v>3</v>
      </c>
      <c r="E200">
        <v>16</v>
      </c>
      <c r="F200" s="2">
        <v>0.05</v>
      </c>
    </row>
    <row r="201" spans="1:6" x14ac:dyDescent="0.3">
      <c r="A201" s="1">
        <v>43303</v>
      </c>
      <c r="B201" t="s">
        <v>9</v>
      </c>
      <c r="C201" t="s">
        <v>12</v>
      </c>
      <c r="D201">
        <v>21</v>
      </c>
      <c r="E201">
        <v>16</v>
      </c>
      <c r="F201" s="2">
        <v>0.02</v>
      </c>
    </row>
    <row r="202" spans="1:6" x14ac:dyDescent="0.3">
      <c r="A202" s="1">
        <v>43303</v>
      </c>
      <c r="B202" t="s">
        <v>10</v>
      </c>
      <c r="C202" t="s">
        <v>14</v>
      </c>
      <c r="D202">
        <v>4</v>
      </c>
      <c r="E202">
        <v>80</v>
      </c>
      <c r="F202" s="2">
        <v>0.11</v>
      </c>
    </row>
    <row r="203" spans="1:6" x14ac:dyDescent="0.3">
      <c r="A203" s="1">
        <v>43303</v>
      </c>
      <c r="B203" t="s">
        <v>7</v>
      </c>
      <c r="C203" t="s">
        <v>13</v>
      </c>
      <c r="D203">
        <v>23</v>
      </c>
      <c r="E203">
        <v>150</v>
      </c>
      <c r="F203" s="2">
        <v>0.08</v>
      </c>
    </row>
    <row r="204" spans="1:6" x14ac:dyDescent="0.3">
      <c r="A204" s="1">
        <v>43303</v>
      </c>
      <c r="B204" t="s">
        <v>9</v>
      </c>
      <c r="C204" t="s">
        <v>13</v>
      </c>
      <c r="D204">
        <v>23</v>
      </c>
      <c r="E204">
        <v>16</v>
      </c>
      <c r="F204" s="2">
        <v>0.01</v>
      </c>
    </row>
    <row r="205" spans="1:6" x14ac:dyDescent="0.3">
      <c r="A205" s="1">
        <v>43303</v>
      </c>
      <c r="B205" t="s">
        <v>8</v>
      </c>
      <c r="C205" t="s">
        <v>14</v>
      </c>
      <c r="D205">
        <v>22</v>
      </c>
      <c r="E205">
        <v>40</v>
      </c>
      <c r="F205" s="2">
        <v>0.01</v>
      </c>
    </row>
    <row r="206" spans="1:6" x14ac:dyDescent="0.3">
      <c r="A206" s="1">
        <v>43304</v>
      </c>
      <c r="B206" t="s">
        <v>7</v>
      </c>
      <c r="C206" t="s">
        <v>11</v>
      </c>
      <c r="D206">
        <v>8</v>
      </c>
      <c r="E206">
        <v>150</v>
      </c>
      <c r="F206" s="2">
        <v>0.09</v>
      </c>
    </row>
    <row r="207" spans="1:6" x14ac:dyDescent="0.3">
      <c r="A207" s="1">
        <v>43304</v>
      </c>
      <c r="B207" t="s">
        <v>7</v>
      </c>
      <c r="C207" t="s">
        <v>11</v>
      </c>
      <c r="D207">
        <v>20</v>
      </c>
      <c r="E207">
        <v>150</v>
      </c>
      <c r="F207" s="2">
        <v>0.01</v>
      </c>
    </row>
    <row r="208" spans="1:6" x14ac:dyDescent="0.3">
      <c r="A208" s="1">
        <v>43304</v>
      </c>
      <c r="B208" t="s">
        <v>6</v>
      </c>
      <c r="C208" t="s">
        <v>12</v>
      </c>
      <c r="D208">
        <v>22</v>
      </c>
      <c r="E208">
        <v>230</v>
      </c>
      <c r="F208" s="2">
        <v>0.11</v>
      </c>
    </row>
    <row r="209" spans="1:6" x14ac:dyDescent="0.3">
      <c r="A209" s="1">
        <v>43304</v>
      </c>
      <c r="B209" t="s">
        <v>9</v>
      </c>
      <c r="C209" t="s">
        <v>15</v>
      </c>
      <c r="D209">
        <v>23</v>
      </c>
      <c r="E209">
        <v>16</v>
      </c>
      <c r="F209" s="2">
        <v>0.11</v>
      </c>
    </row>
    <row r="210" spans="1:6" x14ac:dyDescent="0.3">
      <c r="A210" s="1">
        <v>43304</v>
      </c>
      <c r="B210" t="s">
        <v>10</v>
      </c>
      <c r="C210" t="s">
        <v>11</v>
      </c>
      <c r="D210">
        <v>6</v>
      </c>
      <c r="E210">
        <v>80</v>
      </c>
      <c r="F210" s="2">
        <v>0.01</v>
      </c>
    </row>
    <row r="211" spans="1:6" x14ac:dyDescent="0.3">
      <c r="A211" s="1">
        <v>43304</v>
      </c>
      <c r="B211" t="s">
        <v>9</v>
      </c>
      <c r="C211" t="s">
        <v>11</v>
      </c>
      <c r="D211">
        <v>7</v>
      </c>
      <c r="E211">
        <v>16</v>
      </c>
      <c r="F211" s="2">
        <v>0.12</v>
      </c>
    </row>
    <row r="212" spans="1:6" x14ac:dyDescent="0.3">
      <c r="A212" s="1">
        <v>43304</v>
      </c>
      <c r="B212" t="s">
        <v>10</v>
      </c>
      <c r="C212" t="s">
        <v>12</v>
      </c>
      <c r="D212">
        <v>10</v>
      </c>
      <c r="E212">
        <v>80</v>
      </c>
      <c r="F212" s="2">
        <v>0.11</v>
      </c>
    </row>
    <row r="213" spans="1:6" x14ac:dyDescent="0.3">
      <c r="A213" s="1">
        <v>43304</v>
      </c>
      <c r="B213" t="s">
        <v>6</v>
      </c>
      <c r="C213" t="s">
        <v>11</v>
      </c>
      <c r="D213">
        <v>9</v>
      </c>
      <c r="E213">
        <v>230</v>
      </c>
      <c r="F213" s="2">
        <v>7.0000000000000007E-2</v>
      </c>
    </row>
    <row r="214" spans="1:6" x14ac:dyDescent="0.3">
      <c r="A214" s="1">
        <v>43305</v>
      </c>
      <c r="B214" t="s">
        <v>8</v>
      </c>
      <c r="C214" t="s">
        <v>12</v>
      </c>
      <c r="D214">
        <v>12</v>
      </c>
      <c r="E214">
        <v>40</v>
      </c>
      <c r="F214" s="2">
        <v>0.1</v>
      </c>
    </row>
    <row r="215" spans="1:6" x14ac:dyDescent="0.3">
      <c r="A215" s="1">
        <v>43305</v>
      </c>
      <c r="B215" t="s">
        <v>9</v>
      </c>
      <c r="C215" t="s">
        <v>13</v>
      </c>
      <c r="D215">
        <v>17</v>
      </c>
      <c r="E215">
        <v>16</v>
      </c>
      <c r="F215" s="2">
        <v>0.1</v>
      </c>
    </row>
    <row r="216" spans="1:6" x14ac:dyDescent="0.3">
      <c r="A216" s="1">
        <v>43305</v>
      </c>
      <c r="B216" t="s">
        <v>7</v>
      </c>
      <c r="C216" t="s">
        <v>15</v>
      </c>
      <c r="D216">
        <v>22</v>
      </c>
      <c r="E216">
        <v>150</v>
      </c>
      <c r="F216" s="2">
        <v>0.04</v>
      </c>
    </row>
    <row r="217" spans="1:6" x14ac:dyDescent="0.3">
      <c r="A217" s="1">
        <v>43305</v>
      </c>
      <c r="B217" t="s">
        <v>7</v>
      </c>
      <c r="C217" t="s">
        <v>15</v>
      </c>
      <c r="D217">
        <v>11</v>
      </c>
      <c r="E217">
        <v>150</v>
      </c>
      <c r="F217" s="2">
        <v>0.05</v>
      </c>
    </row>
    <row r="218" spans="1:6" x14ac:dyDescent="0.3">
      <c r="A218" s="1">
        <v>43305</v>
      </c>
      <c r="B218" t="s">
        <v>10</v>
      </c>
      <c r="C218" t="s">
        <v>13</v>
      </c>
      <c r="D218">
        <v>9</v>
      </c>
      <c r="E218">
        <v>80</v>
      </c>
      <c r="F218" s="2">
        <v>0.02</v>
      </c>
    </row>
    <row r="219" spans="1:6" x14ac:dyDescent="0.3">
      <c r="A219" s="1">
        <v>43305</v>
      </c>
      <c r="B219" t="s">
        <v>10</v>
      </c>
      <c r="C219" t="s">
        <v>13</v>
      </c>
      <c r="D219">
        <v>13</v>
      </c>
      <c r="E219">
        <v>80</v>
      </c>
      <c r="F219" s="2">
        <v>0.05</v>
      </c>
    </row>
    <row r="220" spans="1:6" x14ac:dyDescent="0.3">
      <c r="A220" s="1">
        <v>43305</v>
      </c>
      <c r="B220" t="s">
        <v>8</v>
      </c>
      <c r="C220" t="s">
        <v>13</v>
      </c>
      <c r="D220">
        <v>20</v>
      </c>
      <c r="E220">
        <v>40</v>
      </c>
      <c r="F220" s="2">
        <v>0.1</v>
      </c>
    </row>
    <row r="221" spans="1:6" x14ac:dyDescent="0.3">
      <c r="A221" s="1">
        <v>43305</v>
      </c>
      <c r="B221" t="s">
        <v>8</v>
      </c>
      <c r="C221" t="s">
        <v>12</v>
      </c>
      <c r="D221">
        <v>15</v>
      </c>
      <c r="E221">
        <v>40</v>
      </c>
      <c r="F221" s="2">
        <v>0.02</v>
      </c>
    </row>
    <row r="222" spans="1:6" x14ac:dyDescent="0.3">
      <c r="A222" s="1">
        <v>43306</v>
      </c>
      <c r="B222" t="s">
        <v>7</v>
      </c>
      <c r="C222" t="s">
        <v>13</v>
      </c>
      <c r="D222">
        <v>15</v>
      </c>
      <c r="E222">
        <v>150</v>
      </c>
      <c r="F222" s="2">
        <v>7.0000000000000007E-2</v>
      </c>
    </row>
    <row r="223" spans="1:6" x14ac:dyDescent="0.3">
      <c r="A223" s="1">
        <v>43306</v>
      </c>
      <c r="B223" t="s">
        <v>10</v>
      </c>
      <c r="C223" t="s">
        <v>13</v>
      </c>
      <c r="D223">
        <v>16</v>
      </c>
      <c r="E223">
        <v>80</v>
      </c>
      <c r="F223" s="2">
        <v>0.09</v>
      </c>
    </row>
    <row r="224" spans="1:6" x14ac:dyDescent="0.3">
      <c r="A224" s="1">
        <v>43306</v>
      </c>
      <c r="B224" t="s">
        <v>6</v>
      </c>
      <c r="C224" t="s">
        <v>11</v>
      </c>
      <c r="D224">
        <v>16</v>
      </c>
      <c r="E224">
        <v>230</v>
      </c>
      <c r="F224" s="2">
        <v>7.0000000000000007E-2</v>
      </c>
    </row>
    <row r="225" spans="1:6" x14ac:dyDescent="0.3">
      <c r="A225" s="1">
        <v>43306</v>
      </c>
      <c r="B225" t="s">
        <v>10</v>
      </c>
      <c r="C225" t="s">
        <v>12</v>
      </c>
      <c r="D225">
        <v>14</v>
      </c>
      <c r="E225">
        <v>80</v>
      </c>
      <c r="F225" s="2">
        <v>0.11</v>
      </c>
    </row>
    <row r="226" spans="1:6" x14ac:dyDescent="0.3">
      <c r="A226" s="1">
        <v>43306</v>
      </c>
      <c r="B226" t="s">
        <v>10</v>
      </c>
      <c r="C226" t="s">
        <v>13</v>
      </c>
      <c r="D226">
        <v>17</v>
      </c>
      <c r="E226">
        <v>80</v>
      </c>
      <c r="F226" s="2">
        <v>7.0000000000000007E-2</v>
      </c>
    </row>
    <row r="227" spans="1:6" x14ac:dyDescent="0.3">
      <c r="A227" s="1">
        <v>43306</v>
      </c>
      <c r="B227" t="s">
        <v>10</v>
      </c>
      <c r="C227" t="s">
        <v>15</v>
      </c>
      <c r="D227">
        <v>16</v>
      </c>
      <c r="E227">
        <v>80</v>
      </c>
      <c r="F227" s="2">
        <v>0.02</v>
      </c>
    </row>
    <row r="228" spans="1:6" x14ac:dyDescent="0.3">
      <c r="A228" s="1">
        <v>43306</v>
      </c>
      <c r="B228" t="s">
        <v>9</v>
      </c>
      <c r="C228" t="s">
        <v>11</v>
      </c>
      <c r="D228">
        <v>21</v>
      </c>
      <c r="E228">
        <v>16</v>
      </c>
      <c r="F228" s="2">
        <v>0.09</v>
      </c>
    </row>
    <row r="229" spans="1:6" x14ac:dyDescent="0.3">
      <c r="A229" s="1">
        <v>43306</v>
      </c>
      <c r="B229" t="s">
        <v>7</v>
      </c>
      <c r="C229" t="s">
        <v>11</v>
      </c>
      <c r="D229">
        <v>9</v>
      </c>
      <c r="E229">
        <v>150</v>
      </c>
      <c r="F229" s="2">
        <v>0.1</v>
      </c>
    </row>
    <row r="230" spans="1:6" x14ac:dyDescent="0.3">
      <c r="A230" s="1">
        <v>43306</v>
      </c>
      <c r="B230" t="s">
        <v>7</v>
      </c>
      <c r="C230" t="s">
        <v>14</v>
      </c>
      <c r="D230">
        <v>3</v>
      </c>
      <c r="E230">
        <v>150</v>
      </c>
      <c r="F230" s="2">
        <v>0.01</v>
      </c>
    </row>
    <row r="231" spans="1:6" x14ac:dyDescent="0.3">
      <c r="A231" s="1">
        <v>43307</v>
      </c>
      <c r="B231" t="s">
        <v>10</v>
      </c>
      <c r="C231" t="s">
        <v>12</v>
      </c>
      <c r="D231">
        <v>14</v>
      </c>
      <c r="E231">
        <v>80</v>
      </c>
      <c r="F231" s="2">
        <v>0.06</v>
      </c>
    </row>
    <row r="232" spans="1:6" x14ac:dyDescent="0.3">
      <c r="A232" s="1">
        <v>43307</v>
      </c>
      <c r="B232" t="s">
        <v>7</v>
      </c>
      <c r="C232" t="s">
        <v>13</v>
      </c>
      <c r="D232">
        <v>4</v>
      </c>
      <c r="E232">
        <v>150</v>
      </c>
      <c r="F232" s="2">
        <v>0.05</v>
      </c>
    </row>
    <row r="233" spans="1:6" x14ac:dyDescent="0.3">
      <c r="A233" s="1">
        <v>43307</v>
      </c>
      <c r="B233" t="s">
        <v>9</v>
      </c>
      <c r="C233" t="s">
        <v>12</v>
      </c>
      <c r="D233">
        <v>20</v>
      </c>
      <c r="E233">
        <v>16</v>
      </c>
      <c r="F233" s="2">
        <v>0.06</v>
      </c>
    </row>
    <row r="234" spans="1:6" x14ac:dyDescent="0.3">
      <c r="A234" s="1">
        <v>43307</v>
      </c>
      <c r="B234" t="s">
        <v>6</v>
      </c>
      <c r="C234" t="s">
        <v>15</v>
      </c>
      <c r="D234">
        <v>7</v>
      </c>
      <c r="E234">
        <v>230</v>
      </c>
      <c r="F234" s="2">
        <v>0.01</v>
      </c>
    </row>
    <row r="235" spans="1:6" x14ac:dyDescent="0.3">
      <c r="A235" s="1">
        <v>43307</v>
      </c>
      <c r="B235" t="s">
        <v>10</v>
      </c>
      <c r="C235" t="s">
        <v>12</v>
      </c>
      <c r="D235">
        <v>9</v>
      </c>
      <c r="E235">
        <v>80</v>
      </c>
      <c r="F235" s="2">
        <v>0.03</v>
      </c>
    </row>
    <row r="236" spans="1:6" x14ac:dyDescent="0.3">
      <c r="A236" s="1">
        <v>43307</v>
      </c>
      <c r="B236" t="s">
        <v>8</v>
      </c>
      <c r="C236" t="s">
        <v>14</v>
      </c>
      <c r="D236">
        <v>4</v>
      </c>
      <c r="E236">
        <v>40</v>
      </c>
      <c r="F236" s="2">
        <v>0.05</v>
      </c>
    </row>
    <row r="237" spans="1:6" x14ac:dyDescent="0.3">
      <c r="A237" s="1">
        <v>43307</v>
      </c>
      <c r="B237" t="s">
        <v>10</v>
      </c>
      <c r="C237" t="s">
        <v>11</v>
      </c>
      <c r="D237">
        <v>6</v>
      </c>
      <c r="E237">
        <v>80</v>
      </c>
      <c r="F237" s="2">
        <v>7.0000000000000007E-2</v>
      </c>
    </row>
    <row r="238" spans="1:6" x14ac:dyDescent="0.3">
      <c r="A238" s="1">
        <v>43307</v>
      </c>
      <c r="B238" t="s">
        <v>9</v>
      </c>
      <c r="C238" t="s">
        <v>15</v>
      </c>
      <c r="D238">
        <v>8</v>
      </c>
      <c r="E238">
        <v>16</v>
      </c>
      <c r="F238" s="2">
        <v>0.03</v>
      </c>
    </row>
    <row r="239" spans="1:6" x14ac:dyDescent="0.3">
      <c r="A239" s="1">
        <v>43307</v>
      </c>
      <c r="B239" t="s">
        <v>9</v>
      </c>
      <c r="C239" t="s">
        <v>11</v>
      </c>
      <c r="D239">
        <v>10</v>
      </c>
      <c r="E239">
        <v>16</v>
      </c>
      <c r="F239" s="2">
        <v>0.08</v>
      </c>
    </row>
    <row r="240" spans="1:6" x14ac:dyDescent="0.3">
      <c r="A240" s="1">
        <v>43307</v>
      </c>
      <c r="B240" t="s">
        <v>9</v>
      </c>
      <c r="C240" t="s">
        <v>14</v>
      </c>
      <c r="D240">
        <v>22</v>
      </c>
      <c r="E240">
        <v>16</v>
      </c>
      <c r="F240" s="2">
        <v>0.03</v>
      </c>
    </row>
    <row r="241" spans="1:6" x14ac:dyDescent="0.3">
      <c r="A241" s="1">
        <v>43307</v>
      </c>
      <c r="B241" t="s">
        <v>10</v>
      </c>
      <c r="C241" t="s">
        <v>14</v>
      </c>
      <c r="D241">
        <v>11</v>
      </c>
      <c r="E241">
        <v>80</v>
      </c>
      <c r="F241" s="2">
        <v>0.01</v>
      </c>
    </row>
    <row r="242" spans="1:6" x14ac:dyDescent="0.3">
      <c r="A242" s="1">
        <v>43307</v>
      </c>
      <c r="B242" t="s">
        <v>9</v>
      </c>
      <c r="C242" t="s">
        <v>14</v>
      </c>
      <c r="D242">
        <v>7</v>
      </c>
      <c r="E242">
        <v>16</v>
      </c>
      <c r="F242" s="2">
        <v>0.08</v>
      </c>
    </row>
    <row r="243" spans="1:6" x14ac:dyDescent="0.3">
      <c r="A243" s="1">
        <v>43308</v>
      </c>
      <c r="B243" t="s">
        <v>9</v>
      </c>
      <c r="C243" t="s">
        <v>15</v>
      </c>
      <c r="D243">
        <v>11</v>
      </c>
      <c r="E243">
        <v>16</v>
      </c>
      <c r="F243" s="2">
        <v>0.12</v>
      </c>
    </row>
    <row r="244" spans="1:6" x14ac:dyDescent="0.3">
      <c r="A244" s="1">
        <v>43308</v>
      </c>
      <c r="B244" t="s">
        <v>8</v>
      </c>
      <c r="C244" t="s">
        <v>13</v>
      </c>
      <c r="D244">
        <v>7</v>
      </c>
      <c r="E244">
        <v>40</v>
      </c>
      <c r="F244" s="2">
        <v>0.05</v>
      </c>
    </row>
    <row r="245" spans="1:6" x14ac:dyDescent="0.3">
      <c r="A245" s="1">
        <v>43308</v>
      </c>
      <c r="B245" t="s">
        <v>7</v>
      </c>
      <c r="C245" t="s">
        <v>15</v>
      </c>
      <c r="D245">
        <v>9</v>
      </c>
      <c r="E245">
        <v>150</v>
      </c>
      <c r="F245" s="2">
        <v>0.06</v>
      </c>
    </row>
    <row r="246" spans="1:6" x14ac:dyDescent="0.3">
      <c r="A246" s="1">
        <v>43308</v>
      </c>
      <c r="B246" t="s">
        <v>6</v>
      </c>
      <c r="C246" t="s">
        <v>11</v>
      </c>
      <c r="D246">
        <v>20</v>
      </c>
      <c r="E246">
        <v>230</v>
      </c>
      <c r="F246" s="2">
        <v>0.04</v>
      </c>
    </row>
    <row r="247" spans="1:6" x14ac:dyDescent="0.3">
      <c r="A247" s="1">
        <v>43308</v>
      </c>
      <c r="B247" t="s">
        <v>7</v>
      </c>
      <c r="C247" t="s">
        <v>15</v>
      </c>
      <c r="D247">
        <v>9</v>
      </c>
      <c r="E247">
        <v>150</v>
      </c>
      <c r="F247" s="2">
        <v>0.02</v>
      </c>
    </row>
    <row r="248" spans="1:6" x14ac:dyDescent="0.3">
      <c r="A248" s="1">
        <v>43308</v>
      </c>
      <c r="B248" t="s">
        <v>10</v>
      </c>
      <c r="C248" t="s">
        <v>12</v>
      </c>
      <c r="D248">
        <v>5</v>
      </c>
      <c r="E248">
        <v>80</v>
      </c>
      <c r="F248" s="2">
        <v>7.0000000000000007E-2</v>
      </c>
    </row>
    <row r="249" spans="1:6" x14ac:dyDescent="0.3">
      <c r="A249" s="1">
        <v>43308</v>
      </c>
      <c r="B249" t="s">
        <v>7</v>
      </c>
      <c r="C249" t="s">
        <v>15</v>
      </c>
      <c r="D249">
        <v>20</v>
      </c>
      <c r="E249">
        <v>150</v>
      </c>
      <c r="F249" s="2">
        <v>0.04</v>
      </c>
    </row>
    <row r="250" spans="1:6" x14ac:dyDescent="0.3">
      <c r="A250" s="1">
        <v>43308</v>
      </c>
      <c r="B250" t="s">
        <v>7</v>
      </c>
      <c r="C250" t="s">
        <v>14</v>
      </c>
      <c r="D250">
        <v>15</v>
      </c>
      <c r="E250">
        <v>150</v>
      </c>
      <c r="F250" s="2">
        <v>0.05</v>
      </c>
    </row>
    <row r="251" spans="1:6" x14ac:dyDescent="0.3">
      <c r="A251" s="1">
        <v>43308</v>
      </c>
      <c r="B251" t="s">
        <v>10</v>
      </c>
      <c r="C251" t="s">
        <v>11</v>
      </c>
      <c r="D251">
        <v>20</v>
      </c>
      <c r="E251">
        <v>80</v>
      </c>
      <c r="F251" s="2">
        <v>0.01</v>
      </c>
    </row>
    <row r="252" spans="1:6" x14ac:dyDescent="0.3">
      <c r="A252" s="1">
        <v>43309</v>
      </c>
      <c r="B252" t="s">
        <v>6</v>
      </c>
      <c r="C252" t="s">
        <v>12</v>
      </c>
      <c r="D252">
        <v>12</v>
      </c>
      <c r="E252">
        <v>230</v>
      </c>
      <c r="F252" s="2">
        <v>0.03</v>
      </c>
    </row>
    <row r="253" spans="1:6" x14ac:dyDescent="0.3">
      <c r="A253" s="1">
        <v>43309</v>
      </c>
      <c r="B253" t="s">
        <v>8</v>
      </c>
      <c r="C253" t="s">
        <v>13</v>
      </c>
      <c r="D253">
        <v>20</v>
      </c>
      <c r="E253">
        <v>40</v>
      </c>
      <c r="F253" s="2">
        <v>0.05</v>
      </c>
    </row>
    <row r="254" spans="1:6" x14ac:dyDescent="0.3">
      <c r="A254" s="1">
        <v>43309</v>
      </c>
      <c r="B254" t="s">
        <v>8</v>
      </c>
      <c r="C254" t="s">
        <v>13</v>
      </c>
      <c r="D254">
        <v>4</v>
      </c>
      <c r="E254">
        <v>40</v>
      </c>
      <c r="F254" s="2">
        <v>0.09</v>
      </c>
    </row>
    <row r="255" spans="1:6" x14ac:dyDescent="0.3">
      <c r="A255" s="1">
        <v>43309</v>
      </c>
      <c r="B255" t="s">
        <v>9</v>
      </c>
      <c r="C255" t="s">
        <v>15</v>
      </c>
      <c r="D255">
        <v>6</v>
      </c>
      <c r="E255">
        <v>16</v>
      </c>
      <c r="F255" s="2">
        <v>7.0000000000000007E-2</v>
      </c>
    </row>
    <row r="256" spans="1:6" x14ac:dyDescent="0.3">
      <c r="A256" s="1">
        <v>43309</v>
      </c>
      <c r="B256" t="s">
        <v>10</v>
      </c>
      <c r="C256" t="s">
        <v>12</v>
      </c>
      <c r="D256">
        <v>13</v>
      </c>
      <c r="E256">
        <v>80</v>
      </c>
      <c r="F256" s="2">
        <v>0.06</v>
      </c>
    </row>
    <row r="257" spans="1:6" x14ac:dyDescent="0.3">
      <c r="A257" s="1">
        <v>43309</v>
      </c>
      <c r="B257" t="s">
        <v>7</v>
      </c>
      <c r="C257" t="s">
        <v>11</v>
      </c>
      <c r="D257">
        <v>4</v>
      </c>
      <c r="E257">
        <v>150</v>
      </c>
      <c r="F257" s="2">
        <v>0.1</v>
      </c>
    </row>
    <row r="258" spans="1:6" x14ac:dyDescent="0.3">
      <c r="A258" s="1">
        <v>43309</v>
      </c>
      <c r="B258" t="s">
        <v>7</v>
      </c>
      <c r="C258" t="s">
        <v>14</v>
      </c>
      <c r="D258">
        <v>9</v>
      </c>
      <c r="E258">
        <v>150</v>
      </c>
      <c r="F258" s="2">
        <v>0.02</v>
      </c>
    </row>
    <row r="259" spans="1:6" x14ac:dyDescent="0.3">
      <c r="A259" s="1">
        <v>43309</v>
      </c>
      <c r="B259" t="s">
        <v>7</v>
      </c>
      <c r="C259" t="s">
        <v>11</v>
      </c>
      <c r="D259">
        <v>11</v>
      </c>
      <c r="E259">
        <v>150</v>
      </c>
      <c r="F259" s="2">
        <v>0.05</v>
      </c>
    </row>
    <row r="260" spans="1:6" x14ac:dyDescent="0.3">
      <c r="A260" s="1">
        <v>43309</v>
      </c>
      <c r="B260" t="s">
        <v>9</v>
      </c>
      <c r="C260" t="s">
        <v>15</v>
      </c>
      <c r="D260">
        <v>6</v>
      </c>
      <c r="E260">
        <v>16</v>
      </c>
      <c r="F260" s="2">
        <v>0.06</v>
      </c>
    </row>
    <row r="261" spans="1:6" x14ac:dyDescent="0.3">
      <c r="A261" s="1">
        <v>43310</v>
      </c>
      <c r="B261" t="s">
        <v>6</v>
      </c>
      <c r="C261" t="s">
        <v>15</v>
      </c>
      <c r="D261">
        <v>14</v>
      </c>
      <c r="E261">
        <v>230</v>
      </c>
      <c r="F261" s="2">
        <v>0.12</v>
      </c>
    </row>
    <row r="262" spans="1:6" x14ac:dyDescent="0.3">
      <c r="A262" s="1">
        <v>43310</v>
      </c>
      <c r="B262" t="s">
        <v>10</v>
      </c>
      <c r="C262" t="s">
        <v>12</v>
      </c>
      <c r="D262">
        <v>15</v>
      </c>
      <c r="E262">
        <v>80</v>
      </c>
      <c r="F262" s="2">
        <v>0.12</v>
      </c>
    </row>
    <row r="263" spans="1:6" x14ac:dyDescent="0.3">
      <c r="A263" s="1">
        <v>43310</v>
      </c>
      <c r="B263" t="s">
        <v>6</v>
      </c>
      <c r="C263" t="s">
        <v>14</v>
      </c>
      <c r="D263">
        <v>17</v>
      </c>
      <c r="E263">
        <v>230</v>
      </c>
      <c r="F263" s="2">
        <v>0.12</v>
      </c>
    </row>
    <row r="264" spans="1:6" x14ac:dyDescent="0.3">
      <c r="A264" s="1">
        <v>43310</v>
      </c>
      <c r="B264" t="s">
        <v>7</v>
      </c>
      <c r="C264" t="s">
        <v>11</v>
      </c>
      <c r="D264">
        <v>5</v>
      </c>
      <c r="E264">
        <v>150</v>
      </c>
      <c r="F264" s="2">
        <v>0.11</v>
      </c>
    </row>
    <row r="265" spans="1:6" x14ac:dyDescent="0.3">
      <c r="A265" s="1">
        <v>43310</v>
      </c>
      <c r="B265" t="s">
        <v>10</v>
      </c>
      <c r="C265" t="s">
        <v>13</v>
      </c>
      <c r="D265">
        <v>10</v>
      </c>
      <c r="E265">
        <v>80</v>
      </c>
      <c r="F265" s="2">
        <v>0.06</v>
      </c>
    </row>
    <row r="266" spans="1:6" x14ac:dyDescent="0.3">
      <c r="A266" s="1">
        <v>43310</v>
      </c>
      <c r="B266" t="s">
        <v>10</v>
      </c>
      <c r="C266" t="s">
        <v>11</v>
      </c>
      <c r="D266">
        <v>9</v>
      </c>
      <c r="E266">
        <v>80</v>
      </c>
      <c r="F266" s="2">
        <v>0.04</v>
      </c>
    </row>
    <row r="267" spans="1:6" x14ac:dyDescent="0.3">
      <c r="A267" s="1">
        <v>43310</v>
      </c>
      <c r="B267" t="s">
        <v>8</v>
      </c>
      <c r="C267" t="s">
        <v>13</v>
      </c>
      <c r="D267">
        <v>16</v>
      </c>
      <c r="E267">
        <v>40</v>
      </c>
      <c r="F267" s="2">
        <v>0.09</v>
      </c>
    </row>
    <row r="268" spans="1:6" x14ac:dyDescent="0.3">
      <c r="A268" s="1">
        <v>43310</v>
      </c>
      <c r="B268" t="s">
        <v>6</v>
      </c>
      <c r="C268" t="s">
        <v>11</v>
      </c>
      <c r="D268">
        <v>7</v>
      </c>
      <c r="E268">
        <v>230</v>
      </c>
      <c r="F268" s="2">
        <v>0.08</v>
      </c>
    </row>
    <row r="269" spans="1:6" x14ac:dyDescent="0.3">
      <c r="A269" s="1">
        <v>43310</v>
      </c>
      <c r="B269" t="s">
        <v>10</v>
      </c>
      <c r="C269" t="s">
        <v>14</v>
      </c>
      <c r="D269">
        <v>17</v>
      </c>
      <c r="E269">
        <v>80</v>
      </c>
      <c r="F269" s="2">
        <v>0.05</v>
      </c>
    </row>
    <row r="270" spans="1:6" x14ac:dyDescent="0.3">
      <c r="A270" s="1">
        <v>43310</v>
      </c>
      <c r="B270" t="s">
        <v>6</v>
      </c>
      <c r="C270" t="s">
        <v>11</v>
      </c>
      <c r="D270">
        <v>11</v>
      </c>
      <c r="E270">
        <v>230</v>
      </c>
      <c r="F270" s="2">
        <v>0.02</v>
      </c>
    </row>
    <row r="271" spans="1:6" x14ac:dyDescent="0.3">
      <c r="A271" s="1">
        <v>43311</v>
      </c>
      <c r="B271" t="s">
        <v>8</v>
      </c>
      <c r="C271" t="s">
        <v>11</v>
      </c>
      <c r="D271">
        <v>15</v>
      </c>
      <c r="E271">
        <v>40</v>
      </c>
      <c r="F271" s="2">
        <v>0.06</v>
      </c>
    </row>
    <row r="272" spans="1:6" x14ac:dyDescent="0.3">
      <c r="A272" s="1">
        <v>43312</v>
      </c>
      <c r="B272" t="s">
        <v>6</v>
      </c>
      <c r="C272" t="s">
        <v>11</v>
      </c>
      <c r="D272">
        <v>7</v>
      </c>
      <c r="E272">
        <v>230</v>
      </c>
      <c r="F272" s="2">
        <v>0.02</v>
      </c>
    </row>
    <row r="273" spans="1:6" x14ac:dyDescent="0.3">
      <c r="A273" s="1">
        <v>43312</v>
      </c>
      <c r="B273" t="s">
        <v>10</v>
      </c>
      <c r="C273" t="s">
        <v>15</v>
      </c>
      <c r="D273">
        <v>20</v>
      </c>
      <c r="E273">
        <v>80</v>
      </c>
      <c r="F273" s="2">
        <v>7.0000000000000007E-2</v>
      </c>
    </row>
    <row r="274" spans="1:6" x14ac:dyDescent="0.3">
      <c r="A274" s="1">
        <v>43312</v>
      </c>
      <c r="B274" t="s">
        <v>10</v>
      </c>
      <c r="C274" t="s">
        <v>12</v>
      </c>
      <c r="D274">
        <v>3</v>
      </c>
      <c r="E274">
        <v>80</v>
      </c>
      <c r="F274" s="2">
        <v>0.02</v>
      </c>
    </row>
    <row r="275" spans="1:6" x14ac:dyDescent="0.3">
      <c r="A275" s="1">
        <v>43312</v>
      </c>
      <c r="B275" t="s">
        <v>7</v>
      </c>
      <c r="C275" t="s">
        <v>15</v>
      </c>
      <c r="D275">
        <v>2</v>
      </c>
      <c r="E275">
        <v>150</v>
      </c>
      <c r="F275" s="2">
        <v>0.02</v>
      </c>
    </row>
    <row r="276" spans="1:6" x14ac:dyDescent="0.3">
      <c r="A276" s="1">
        <v>43312</v>
      </c>
      <c r="B276" t="s">
        <v>7</v>
      </c>
      <c r="C276" t="s">
        <v>15</v>
      </c>
      <c r="D276">
        <v>22</v>
      </c>
      <c r="E276">
        <v>150</v>
      </c>
      <c r="F276" s="2">
        <v>0.09</v>
      </c>
    </row>
    <row r="277" spans="1:6" x14ac:dyDescent="0.3">
      <c r="A277" s="1">
        <v>43312</v>
      </c>
      <c r="B277" t="s">
        <v>6</v>
      </c>
      <c r="C277" t="s">
        <v>11</v>
      </c>
      <c r="D277">
        <v>5</v>
      </c>
      <c r="E277">
        <v>230</v>
      </c>
      <c r="F277" s="2">
        <v>0.1</v>
      </c>
    </row>
    <row r="278" spans="1:6" x14ac:dyDescent="0.3">
      <c r="A278" s="1">
        <v>43312</v>
      </c>
      <c r="B278" t="s">
        <v>9</v>
      </c>
      <c r="C278" t="s">
        <v>13</v>
      </c>
      <c r="D278">
        <v>12</v>
      </c>
      <c r="E278">
        <v>16</v>
      </c>
      <c r="F278" s="2">
        <v>0.04</v>
      </c>
    </row>
    <row r="279" spans="1:6" x14ac:dyDescent="0.3">
      <c r="A279" s="1">
        <v>43312</v>
      </c>
      <c r="B279" t="s">
        <v>8</v>
      </c>
      <c r="C279" t="s">
        <v>14</v>
      </c>
      <c r="D279">
        <v>6</v>
      </c>
      <c r="E279">
        <v>40</v>
      </c>
      <c r="F279" s="2">
        <v>7.0000000000000007E-2</v>
      </c>
    </row>
    <row r="280" spans="1:6" x14ac:dyDescent="0.3">
      <c r="A280" s="1">
        <v>43312</v>
      </c>
      <c r="B280" t="s">
        <v>9</v>
      </c>
      <c r="C280" t="s">
        <v>13</v>
      </c>
      <c r="D280">
        <v>15</v>
      </c>
      <c r="E280">
        <v>16</v>
      </c>
      <c r="F280" s="2">
        <v>0.01</v>
      </c>
    </row>
  </sheetData>
  <mergeCells count="1">
    <mergeCell ref="A2:F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366"/>
  <sheetViews>
    <sheetView workbookViewId="0">
      <selection activeCell="A5" sqref="A5"/>
    </sheetView>
  </sheetViews>
  <sheetFormatPr defaultRowHeight="14.4" x14ac:dyDescent="0.3"/>
  <cols>
    <col min="1" max="1" width="10.33203125" bestFit="1" customWidth="1"/>
    <col min="3" max="3" width="10.77734375" customWidth="1"/>
    <col min="4" max="4" width="10.21875" customWidth="1"/>
    <col min="6" max="6" width="13.109375" customWidth="1"/>
  </cols>
  <sheetData>
    <row r="2" spans="1:6" x14ac:dyDescent="0.3">
      <c r="A2" s="26" t="s">
        <v>16</v>
      </c>
      <c r="B2" s="26"/>
      <c r="C2" s="26"/>
      <c r="D2" s="26"/>
      <c r="E2" s="26"/>
      <c r="F2" s="26"/>
    </row>
    <row r="4" spans="1:6" x14ac:dyDescent="0.3">
      <c r="A4" t="s">
        <v>0</v>
      </c>
      <c r="B4" t="s">
        <v>1</v>
      </c>
      <c r="C4" t="s">
        <v>4</v>
      </c>
      <c r="D4" t="s">
        <v>2</v>
      </c>
      <c r="E4" t="s">
        <v>3</v>
      </c>
      <c r="F4" t="s">
        <v>5</v>
      </c>
    </row>
    <row r="5" spans="1:6" x14ac:dyDescent="0.3">
      <c r="A5" s="1">
        <v>43282</v>
      </c>
      <c r="B5" t="s">
        <v>7</v>
      </c>
      <c r="C5" t="s">
        <v>13</v>
      </c>
      <c r="D5">
        <v>13</v>
      </c>
      <c r="E5">
        <v>150</v>
      </c>
      <c r="F5" s="2">
        <v>0.11</v>
      </c>
    </row>
    <row r="6" spans="1:6" x14ac:dyDescent="0.3">
      <c r="A6" s="1">
        <v>43282</v>
      </c>
      <c r="B6" t="s">
        <v>8</v>
      </c>
      <c r="C6" t="s">
        <v>12</v>
      </c>
      <c r="D6">
        <v>8</v>
      </c>
      <c r="E6">
        <v>40</v>
      </c>
      <c r="F6" s="2">
        <v>0.09</v>
      </c>
    </row>
    <row r="7" spans="1:6" x14ac:dyDescent="0.3">
      <c r="A7" s="1">
        <v>43282</v>
      </c>
      <c r="B7" t="s">
        <v>8</v>
      </c>
      <c r="C7" t="s">
        <v>14</v>
      </c>
      <c r="D7">
        <v>7</v>
      </c>
      <c r="E7">
        <v>40</v>
      </c>
      <c r="F7" s="2">
        <v>7.0000000000000007E-2</v>
      </c>
    </row>
    <row r="8" spans="1:6" x14ac:dyDescent="0.3">
      <c r="A8" s="1">
        <v>43282</v>
      </c>
      <c r="B8" t="s">
        <v>8</v>
      </c>
      <c r="C8" t="s">
        <v>12</v>
      </c>
      <c r="D8">
        <v>18</v>
      </c>
      <c r="E8">
        <v>40</v>
      </c>
      <c r="F8" s="2">
        <v>0.08</v>
      </c>
    </row>
    <row r="9" spans="1:6" x14ac:dyDescent="0.3">
      <c r="A9" s="1">
        <v>43282</v>
      </c>
      <c r="B9" t="s">
        <v>6</v>
      </c>
      <c r="C9" t="s">
        <v>14</v>
      </c>
      <c r="D9">
        <v>19</v>
      </c>
      <c r="E9">
        <v>230</v>
      </c>
      <c r="F9" s="2">
        <v>0.06</v>
      </c>
    </row>
    <row r="10" spans="1:6" x14ac:dyDescent="0.3">
      <c r="A10" s="1">
        <v>43282</v>
      </c>
      <c r="B10" t="s">
        <v>7</v>
      </c>
      <c r="C10" t="s">
        <v>11</v>
      </c>
      <c r="D10">
        <v>4</v>
      </c>
      <c r="E10">
        <v>150</v>
      </c>
      <c r="F10" s="2">
        <v>0.1</v>
      </c>
    </row>
    <row r="11" spans="1:6" x14ac:dyDescent="0.3">
      <c r="A11" s="1">
        <v>43283</v>
      </c>
      <c r="B11" t="s">
        <v>10</v>
      </c>
      <c r="C11" t="s">
        <v>13</v>
      </c>
      <c r="D11">
        <v>9</v>
      </c>
      <c r="E11">
        <v>80</v>
      </c>
      <c r="F11" s="2">
        <v>0.06</v>
      </c>
    </row>
    <row r="12" spans="1:6" x14ac:dyDescent="0.3">
      <c r="A12" s="1">
        <v>43283</v>
      </c>
      <c r="B12" t="s">
        <v>10</v>
      </c>
      <c r="C12" t="s">
        <v>15</v>
      </c>
      <c r="D12">
        <v>16</v>
      </c>
      <c r="E12">
        <v>80</v>
      </c>
      <c r="F12" s="2">
        <v>0.02</v>
      </c>
    </row>
    <row r="13" spans="1:6" x14ac:dyDescent="0.3">
      <c r="A13" s="1">
        <v>43283</v>
      </c>
      <c r="B13" t="s">
        <v>6</v>
      </c>
      <c r="C13" t="s">
        <v>12</v>
      </c>
      <c r="D13">
        <v>15</v>
      </c>
      <c r="E13">
        <v>230</v>
      </c>
      <c r="F13" s="2">
        <v>0.09</v>
      </c>
    </row>
    <row r="14" spans="1:6" x14ac:dyDescent="0.3">
      <c r="A14" s="1">
        <v>43283</v>
      </c>
      <c r="B14" t="s">
        <v>9</v>
      </c>
      <c r="C14" t="s">
        <v>13</v>
      </c>
      <c r="D14">
        <v>15</v>
      </c>
      <c r="E14">
        <v>16</v>
      </c>
      <c r="F14" s="2">
        <v>0.01</v>
      </c>
    </row>
    <row r="15" spans="1:6" x14ac:dyDescent="0.3">
      <c r="A15" s="1">
        <v>43283</v>
      </c>
      <c r="B15" t="s">
        <v>6</v>
      </c>
      <c r="C15" t="s">
        <v>11</v>
      </c>
      <c r="D15">
        <v>7</v>
      </c>
      <c r="E15">
        <v>230</v>
      </c>
      <c r="F15" s="2">
        <v>0.02</v>
      </c>
    </row>
    <row r="16" spans="1:6" x14ac:dyDescent="0.3">
      <c r="A16" s="1">
        <v>43283</v>
      </c>
      <c r="B16" t="s">
        <v>9</v>
      </c>
      <c r="C16" t="s">
        <v>15</v>
      </c>
      <c r="D16">
        <v>23</v>
      </c>
      <c r="E16">
        <v>16</v>
      </c>
      <c r="F16" s="2">
        <v>0.11</v>
      </c>
    </row>
    <row r="17" spans="1:6" x14ac:dyDescent="0.3">
      <c r="A17" s="1">
        <v>43283</v>
      </c>
      <c r="B17" t="s">
        <v>8</v>
      </c>
      <c r="C17" t="s">
        <v>13</v>
      </c>
      <c r="D17">
        <v>20</v>
      </c>
      <c r="E17">
        <v>40</v>
      </c>
      <c r="F17" s="2">
        <v>0.05</v>
      </c>
    </row>
    <row r="18" spans="1:6" x14ac:dyDescent="0.3">
      <c r="A18" s="1">
        <v>43284</v>
      </c>
      <c r="B18" t="s">
        <v>6</v>
      </c>
      <c r="C18" t="s">
        <v>12</v>
      </c>
      <c r="D18">
        <v>9</v>
      </c>
      <c r="E18">
        <v>230</v>
      </c>
      <c r="F18" s="2">
        <v>0.03</v>
      </c>
    </row>
    <row r="19" spans="1:6" x14ac:dyDescent="0.3">
      <c r="A19" s="1">
        <v>43284</v>
      </c>
      <c r="B19" t="s">
        <v>8</v>
      </c>
      <c r="C19" t="s">
        <v>14</v>
      </c>
      <c r="D19">
        <v>23</v>
      </c>
      <c r="E19">
        <v>40</v>
      </c>
      <c r="F19" s="2">
        <v>0.06</v>
      </c>
    </row>
    <row r="20" spans="1:6" x14ac:dyDescent="0.3">
      <c r="A20" s="1">
        <v>43284</v>
      </c>
      <c r="B20" t="s">
        <v>8</v>
      </c>
      <c r="C20" t="s">
        <v>14</v>
      </c>
      <c r="D20">
        <v>4</v>
      </c>
      <c r="E20">
        <v>40</v>
      </c>
      <c r="F20" s="2">
        <v>0.05</v>
      </c>
    </row>
    <row r="21" spans="1:6" x14ac:dyDescent="0.3">
      <c r="A21" s="1">
        <v>43284</v>
      </c>
      <c r="B21" t="s">
        <v>7</v>
      </c>
      <c r="C21" t="s">
        <v>11</v>
      </c>
      <c r="D21">
        <v>13</v>
      </c>
      <c r="E21">
        <v>150</v>
      </c>
      <c r="F21" s="2">
        <v>0.05</v>
      </c>
    </row>
    <row r="22" spans="1:6" x14ac:dyDescent="0.3">
      <c r="A22" s="1">
        <v>43284</v>
      </c>
      <c r="B22" t="s">
        <v>6</v>
      </c>
      <c r="C22" t="s">
        <v>12</v>
      </c>
      <c r="D22">
        <v>7</v>
      </c>
      <c r="E22">
        <v>230</v>
      </c>
      <c r="F22" s="2">
        <v>0.01</v>
      </c>
    </row>
    <row r="23" spans="1:6" x14ac:dyDescent="0.3">
      <c r="A23" s="1">
        <v>43284</v>
      </c>
      <c r="B23" t="s">
        <v>6</v>
      </c>
      <c r="C23" t="s">
        <v>12</v>
      </c>
      <c r="D23">
        <v>7</v>
      </c>
      <c r="E23">
        <v>230</v>
      </c>
      <c r="F23" s="2">
        <v>0.08</v>
      </c>
    </row>
    <row r="24" spans="1:6" x14ac:dyDescent="0.3">
      <c r="A24" s="1">
        <v>43284</v>
      </c>
      <c r="B24" t="s">
        <v>6</v>
      </c>
      <c r="C24" t="s">
        <v>15</v>
      </c>
      <c r="D24">
        <v>15</v>
      </c>
      <c r="E24">
        <v>230</v>
      </c>
      <c r="F24" s="2">
        <v>0.04</v>
      </c>
    </row>
    <row r="25" spans="1:6" x14ac:dyDescent="0.3">
      <c r="A25" s="1">
        <v>43284</v>
      </c>
      <c r="B25" t="s">
        <v>8</v>
      </c>
      <c r="C25" t="s">
        <v>14</v>
      </c>
      <c r="D25">
        <v>15</v>
      </c>
      <c r="E25">
        <v>40</v>
      </c>
      <c r="F25" s="2">
        <v>0.03</v>
      </c>
    </row>
    <row r="26" spans="1:6" x14ac:dyDescent="0.3">
      <c r="A26" s="1">
        <v>43284</v>
      </c>
      <c r="B26" t="s">
        <v>8</v>
      </c>
      <c r="C26" t="s">
        <v>15</v>
      </c>
      <c r="D26">
        <v>2</v>
      </c>
      <c r="E26">
        <v>40</v>
      </c>
      <c r="F26" s="2">
        <v>0.03</v>
      </c>
    </row>
    <row r="27" spans="1:6" x14ac:dyDescent="0.3">
      <c r="A27" s="1">
        <v>43284</v>
      </c>
      <c r="B27" t="s">
        <v>7</v>
      </c>
      <c r="C27" t="s">
        <v>15</v>
      </c>
      <c r="D27">
        <v>2</v>
      </c>
      <c r="E27">
        <v>150</v>
      </c>
      <c r="F27" s="2">
        <v>0.02</v>
      </c>
    </row>
    <row r="28" spans="1:6" x14ac:dyDescent="0.3">
      <c r="A28" s="1">
        <v>43285</v>
      </c>
      <c r="B28" t="s">
        <v>6</v>
      </c>
      <c r="C28" t="s">
        <v>11</v>
      </c>
      <c r="D28">
        <v>3</v>
      </c>
      <c r="E28">
        <v>230</v>
      </c>
      <c r="F28" s="2">
        <v>0.11</v>
      </c>
    </row>
    <row r="29" spans="1:6" x14ac:dyDescent="0.3">
      <c r="A29" s="1">
        <v>43285</v>
      </c>
      <c r="B29" t="s">
        <v>8</v>
      </c>
      <c r="C29" t="s">
        <v>15</v>
      </c>
      <c r="D29">
        <v>4</v>
      </c>
      <c r="E29">
        <v>40</v>
      </c>
      <c r="F29" s="2">
        <v>0.06</v>
      </c>
    </row>
    <row r="30" spans="1:6" x14ac:dyDescent="0.3">
      <c r="A30" s="1">
        <v>43285</v>
      </c>
      <c r="B30" t="s">
        <v>8</v>
      </c>
      <c r="C30" t="s">
        <v>14</v>
      </c>
      <c r="D30">
        <v>13</v>
      </c>
      <c r="E30">
        <v>40</v>
      </c>
      <c r="F30" s="2">
        <v>0.06</v>
      </c>
    </row>
    <row r="31" spans="1:6" x14ac:dyDescent="0.3">
      <c r="A31" s="1">
        <v>43285</v>
      </c>
      <c r="B31" t="s">
        <v>9</v>
      </c>
      <c r="C31" t="s">
        <v>14</v>
      </c>
      <c r="D31">
        <v>15</v>
      </c>
      <c r="E31">
        <v>16</v>
      </c>
      <c r="F31" s="2">
        <v>0.12</v>
      </c>
    </row>
    <row r="32" spans="1:6" x14ac:dyDescent="0.3">
      <c r="A32" s="1">
        <v>43285</v>
      </c>
      <c r="B32" t="s">
        <v>10</v>
      </c>
      <c r="C32" t="s">
        <v>11</v>
      </c>
      <c r="D32">
        <v>14</v>
      </c>
      <c r="E32">
        <v>80</v>
      </c>
      <c r="F32" s="2">
        <v>0.08</v>
      </c>
    </row>
    <row r="33" spans="1:6" x14ac:dyDescent="0.3">
      <c r="A33" s="1">
        <v>43285</v>
      </c>
      <c r="B33" t="s">
        <v>9</v>
      </c>
      <c r="C33" t="s">
        <v>11</v>
      </c>
      <c r="D33">
        <v>7</v>
      </c>
      <c r="E33">
        <v>16</v>
      </c>
      <c r="F33" s="2">
        <v>0.08</v>
      </c>
    </row>
    <row r="34" spans="1:6" x14ac:dyDescent="0.3">
      <c r="A34" s="1">
        <v>43285</v>
      </c>
      <c r="B34" t="s">
        <v>7</v>
      </c>
      <c r="C34" t="s">
        <v>12</v>
      </c>
      <c r="D34">
        <v>13</v>
      </c>
      <c r="E34">
        <v>150</v>
      </c>
      <c r="F34" s="2">
        <v>0.02</v>
      </c>
    </row>
    <row r="35" spans="1:6" x14ac:dyDescent="0.3">
      <c r="A35" s="1">
        <v>43285</v>
      </c>
      <c r="B35" t="s">
        <v>7</v>
      </c>
      <c r="C35" t="s">
        <v>15</v>
      </c>
      <c r="D35">
        <v>9</v>
      </c>
      <c r="E35">
        <v>150</v>
      </c>
      <c r="F35" s="2">
        <v>0.02</v>
      </c>
    </row>
    <row r="36" spans="1:6" x14ac:dyDescent="0.3">
      <c r="A36" s="1">
        <v>43285</v>
      </c>
      <c r="B36" t="s">
        <v>8</v>
      </c>
      <c r="C36" t="s">
        <v>11</v>
      </c>
      <c r="D36">
        <v>9</v>
      </c>
      <c r="E36">
        <v>40</v>
      </c>
      <c r="F36" s="2">
        <v>0.01</v>
      </c>
    </row>
    <row r="37" spans="1:6" x14ac:dyDescent="0.3">
      <c r="A37" s="1">
        <v>43286</v>
      </c>
      <c r="B37" t="s">
        <v>10</v>
      </c>
      <c r="C37" t="s">
        <v>13</v>
      </c>
      <c r="D37">
        <v>9</v>
      </c>
      <c r="E37">
        <v>80</v>
      </c>
      <c r="F37" s="2">
        <v>7.0000000000000007E-2</v>
      </c>
    </row>
    <row r="38" spans="1:6" x14ac:dyDescent="0.3">
      <c r="A38" s="1">
        <v>43286</v>
      </c>
      <c r="B38" t="s">
        <v>6</v>
      </c>
      <c r="C38" t="s">
        <v>12</v>
      </c>
      <c r="D38">
        <v>22</v>
      </c>
      <c r="E38">
        <v>230</v>
      </c>
      <c r="F38" s="2">
        <v>0.11</v>
      </c>
    </row>
    <row r="39" spans="1:6" x14ac:dyDescent="0.3">
      <c r="A39" s="1">
        <v>43286</v>
      </c>
      <c r="B39" t="s">
        <v>7</v>
      </c>
      <c r="C39" t="s">
        <v>12</v>
      </c>
      <c r="D39">
        <v>15</v>
      </c>
      <c r="E39">
        <v>150</v>
      </c>
      <c r="F39" s="2">
        <v>0.02</v>
      </c>
    </row>
    <row r="40" spans="1:6" x14ac:dyDescent="0.3">
      <c r="A40" s="1">
        <v>43286</v>
      </c>
      <c r="B40" t="s">
        <v>6</v>
      </c>
      <c r="C40" t="s">
        <v>13</v>
      </c>
      <c r="D40">
        <v>5</v>
      </c>
      <c r="E40">
        <v>230</v>
      </c>
      <c r="F40" s="2">
        <v>0.12</v>
      </c>
    </row>
    <row r="41" spans="1:6" x14ac:dyDescent="0.3">
      <c r="A41" s="1">
        <v>43286</v>
      </c>
      <c r="B41" t="s">
        <v>8</v>
      </c>
      <c r="C41" t="s">
        <v>15</v>
      </c>
      <c r="D41">
        <v>20</v>
      </c>
      <c r="E41">
        <v>40</v>
      </c>
      <c r="F41" s="2">
        <v>0.01</v>
      </c>
    </row>
    <row r="42" spans="1:6" x14ac:dyDescent="0.3">
      <c r="A42" s="1">
        <v>43286</v>
      </c>
      <c r="B42" t="s">
        <v>8</v>
      </c>
      <c r="C42" t="s">
        <v>11</v>
      </c>
      <c r="D42">
        <v>23</v>
      </c>
      <c r="E42">
        <v>40</v>
      </c>
      <c r="F42" s="2">
        <v>0.03</v>
      </c>
    </row>
    <row r="43" spans="1:6" x14ac:dyDescent="0.3">
      <c r="A43" s="1">
        <v>43286</v>
      </c>
      <c r="B43" t="s">
        <v>10</v>
      </c>
      <c r="C43" t="s">
        <v>13</v>
      </c>
      <c r="D43">
        <v>16</v>
      </c>
      <c r="E43">
        <v>80</v>
      </c>
      <c r="F43" s="2">
        <v>0.05</v>
      </c>
    </row>
    <row r="44" spans="1:6" x14ac:dyDescent="0.3">
      <c r="A44" s="1">
        <v>43286</v>
      </c>
      <c r="B44" t="s">
        <v>6</v>
      </c>
      <c r="C44" t="s">
        <v>15</v>
      </c>
      <c r="D44">
        <v>18</v>
      </c>
      <c r="E44">
        <v>230</v>
      </c>
      <c r="F44" s="2">
        <v>0.01</v>
      </c>
    </row>
    <row r="45" spans="1:6" x14ac:dyDescent="0.3">
      <c r="A45" s="1">
        <v>43286</v>
      </c>
      <c r="B45" t="s">
        <v>8</v>
      </c>
      <c r="C45" t="s">
        <v>13</v>
      </c>
      <c r="D45">
        <v>23</v>
      </c>
      <c r="E45">
        <v>40</v>
      </c>
      <c r="F45" s="2">
        <v>0.05</v>
      </c>
    </row>
    <row r="46" spans="1:6" x14ac:dyDescent="0.3">
      <c r="A46" s="1">
        <v>43286</v>
      </c>
      <c r="B46" t="s">
        <v>9</v>
      </c>
      <c r="C46" t="s">
        <v>14</v>
      </c>
      <c r="D46">
        <v>5</v>
      </c>
      <c r="E46">
        <v>16</v>
      </c>
      <c r="F46" s="2">
        <v>0.09</v>
      </c>
    </row>
    <row r="47" spans="1:6" x14ac:dyDescent="0.3">
      <c r="A47" s="1">
        <v>43286</v>
      </c>
      <c r="B47" t="s">
        <v>8</v>
      </c>
      <c r="C47" t="s">
        <v>11</v>
      </c>
      <c r="D47">
        <v>22</v>
      </c>
      <c r="E47">
        <v>40</v>
      </c>
      <c r="F47" s="2">
        <v>0.02</v>
      </c>
    </row>
    <row r="48" spans="1:6" x14ac:dyDescent="0.3">
      <c r="A48" s="1">
        <v>43287</v>
      </c>
      <c r="B48" t="s">
        <v>7</v>
      </c>
      <c r="C48" t="s">
        <v>11</v>
      </c>
      <c r="D48">
        <v>23</v>
      </c>
      <c r="E48">
        <v>150</v>
      </c>
      <c r="F48" s="2">
        <v>0.1</v>
      </c>
    </row>
    <row r="49" spans="1:6" x14ac:dyDescent="0.3">
      <c r="A49" s="1">
        <v>43287</v>
      </c>
      <c r="B49" t="s">
        <v>6</v>
      </c>
      <c r="C49" t="s">
        <v>12</v>
      </c>
      <c r="D49">
        <v>22</v>
      </c>
      <c r="E49">
        <v>230</v>
      </c>
      <c r="F49" s="2">
        <v>0.04</v>
      </c>
    </row>
    <row r="50" spans="1:6" x14ac:dyDescent="0.3">
      <c r="A50" s="1">
        <v>43287</v>
      </c>
      <c r="B50" t="s">
        <v>10</v>
      </c>
      <c r="C50" t="s">
        <v>14</v>
      </c>
      <c r="D50">
        <v>16</v>
      </c>
      <c r="E50">
        <v>80</v>
      </c>
      <c r="F50" s="2">
        <v>7.0000000000000007E-2</v>
      </c>
    </row>
    <row r="51" spans="1:6" x14ac:dyDescent="0.3">
      <c r="A51" s="1">
        <v>43287</v>
      </c>
      <c r="B51" t="s">
        <v>7</v>
      </c>
      <c r="C51" t="s">
        <v>15</v>
      </c>
      <c r="D51">
        <v>22</v>
      </c>
      <c r="E51">
        <v>150</v>
      </c>
      <c r="F51" s="2">
        <v>0.09</v>
      </c>
    </row>
    <row r="52" spans="1:6" x14ac:dyDescent="0.3">
      <c r="A52" s="1">
        <v>43287</v>
      </c>
      <c r="B52" t="s">
        <v>10</v>
      </c>
      <c r="C52" t="s">
        <v>15</v>
      </c>
      <c r="D52">
        <v>5</v>
      </c>
      <c r="E52">
        <v>80</v>
      </c>
      <c r="F52" s="2">
        <v>0.09</v>
      </c>
    </row>
    <row r="53" spans="1:6" x14ac:dyDescent="0.3">
      <c r="A53" s="1">
        <v>43287</v>
      </c>
      <c r="B53" t="s">
        <v>10</v>
      </c>
      <c r="C53" t="s">
        <v>14</v>
      </c>
      <c r="D53">
        <v>16</v>
      </c>
      <c r="E53">
        <v>80</v>
      </c>
      <c r="F53" s="2">
        <v>0.1</v>
      </c>
    </row>
    <row r="54" spans="1:6" x14ac:dyDescent="0.3">
      <c r="A54" s="1">
        <v>43287</v>
      </c>
      <c r="B54" t="s">
        <v>7</v>
      </c>
      <c r="C54" t="s">
        <v>12</v>
      </c>
      <c r="D54">
        <v>23</v>
      </c>
      <c r="E54">
        <v>150</v>
      </c>
      <c r="F54" s="2">
        <v>0.11</v>
      </c>
    </row>
    <row r="55" spans="1:6" x14ac:dyDescent="0.3">
      <c r="A55" s="1">
        <v>43287</v>
      </c>
      <c r="B55" t="s">
        <v>9</v>
      </c>
      <c r="C55" t="s">
        <v>12</v>
      </c>
      <c r="D55">
        <v>4</v>
      </c>
      <c r="E55">
        <v>16</v>
      </c>
      <c r="F55" s="2">
        <v>0.09</v>
      </c>
    </row>
    <row r="56" spans="1:6" x14ac:dyDescent="0.3">
      <c r="A56" s="1">
        <v>43287</v>
      </c>
      <c r="B56" t="s">
        <v>9</v>
      </c>
      <c r="C56" t="s">
        <v>12</v>
      </c>
      <c r="D56">
        <v>4</v>
      </c>
      <c r="E56">
        <v>16</v>
      </c>
      <c r="F56" s="2">
        <v>7.0000000000000007E-2</v>
      </c>
    </row>
    <row r="57" spans="1:6" x14ac:dyDescent="0.3">
      <c r="A57" s="1">
        <v>43287</v>
      </c>
      <c r="B57" t="s">
        <v>9</v>
      </c>
      <c r="C57" t="s">
        <v>11</v>
      </c>
      <c r="D57">
        <v>16</v>
      </c>
      <c r="E57">
        <v>16</v>
      </c>
      <c r="F57" s="2">
        <v>0.03</v>
      </c>
    </row>
    <row r="58" spans="1:6" x14ac:dyDescent="0.3">
      <c r="A58" s="1">
        <v>43287</v>
      </c>
      <c r="B58" t="s">
        <v>8</v>
      </c>
      <c r="C58" t="s">
        <v>14</v>
      </c>
      <c r="D58">
        <v>18</v>
      </c>
      <c r="E58">
        <v>40</v>
      </c>
      <c r="F58" s="2">
        <v>0.04</v>
      </c>
    </row>
    <row r="59" spans="1:6" x14ac:dyDescent="0.3">
      <c r="A59" s="1">
        <v>43287</v>
      </c>
      <c r="B59" t="s">
        <v>10</v>
      </c>
      <c r="C59" t="s">
        <v>14</v>
      </c>
      <c r="D59">
        <v>21</v>
      </c>
      <c r="E59">
        <v>80</v>
      </c>
      <c r="F59" s="2">
        <v>0.02</v>
      </c>
    </row>
    <row r="60" spans="1:6" x14ac:dyDescent="0.3">
      <c r="A60" s="1">
        <v>43287</v>
      </c>
      <c r="B60" t="s">
        <v>10</v>
      </c>
      <c r="C60" t="s">
        <v>13</v>
      </c>
      <c r="D60">
        <v>10</v>
      </c>
      <c r="E60">
        <v>80</v>
      </c>
      <c r="F60" s="2">
        <v>0.06</v>
      </c>
    </row>
    <row r="61" spans="1:6" x14ac:dyDescent="0.3">
      <c r="A61" s="1">
        <v>43287</v>
      </c>
      <c r="B61" t="s">
        <v>6</v>
      </c>
      <c r="C61" t="s">
        <v>15</v>
      </c>
      <c r="D61">
        <v>7</v>
      </c>
      <c r="E61">
        <v>230</v>
      </c>
      <c r="F61" s="2">
        <v>0.01</v>
      </c>
    </row>
    <row r="62" spans="1:6" x14ac:dyDescent="0.3">
      <c r="A62" s="1">
        <v>43288</v>
      </c>
      <c r="B62" t="s">
        <v>9</v>
      </c>
      <c r="C62" t="s">
        <v>13</v>
      </c>
      <c r="D62">
        <v>11</v>
      </c>
      <c r="E62">
        <v>16</v>
      </c>
      <c r="F62" s="2">
        <v>0.12</v>
      </c>
    </row>
    <row r="63" spans="1:6" x14ac:dyDescent="0.3">
      <c r="A63" s="1">
        <v>43288</v>
      </c>
      <c r="B63" t="s">
        <v>10</v>
      </c>
      <c r="C63" t="s">
        <v>14</v>
      </c>
      <c r="D63">
        <v>10</v>
      </c>
      <c r="E63">
        <v>80</v>
      </c>
      <c r="F63" s="2">
        <v>0.1</v>
      </c>
    </row>
    <row r="64" spans="1:6" x14ac:dyDescent="0.3">
      <c r="A64" s="1">
        <v>43288</v>
      </c>
      <c r="B64" t="s">
        <v>8</v>
      </c>
      <c r="C64" t="s">
        <v>12</v>
      </c>
      <c r="D64">
        <v>23</v>
      </c>
      <c r="E64">
        <v>40</v>
      </c>
      <c r="F64" s="2">
        <v>0.06</v>
      </c>
    </row>
    <row r="65" spans="1:6" x14ac:dyDescent="0.3">
      <c r="A65" s="1">
        <v>43288</v>
      </c>
      <c r="B65" t="s">
        <v>7</v>
      </c>
      <c r="C65" t="s">
        <v>13</v>
      </c>
      <c r="D65">
        <v>7</v>
      </c>
      <c r="E65">
        <v>150</v>
      </c>
      <c r="F65" s="2">
        <v>0.02</v>
      </c>
    </row>
    <row r="66" spans="1:6" x14ac:dyDescent="0.3">
      <c r="A66" s="1">
        <v>43288</v>
      </c>
      <c r="B66" t="s">
        <v>10</v>
      </c>
      <c r="C66" t="s">
        <v>11</v>
      </c>
      <c r="D66">
        <v>17</v>
      </c>
      <c r="E66">
        <v>80</v>
      </c>
      <c r="F66" s="2">
        <v>7.0000000000000007E-2</v>
      </c>
    </row>
    <row r="67" spans="1:6" x14ac:dyDescent="0.3">
      <c r="A67" s="1">
        <v>43288</v>
      </c>
      <c r="B67" t="s">
        <v>7</v>
      </c>
      <c r="C67" t="s">
        <v>12</v>
      </c>
      <c r="D67">
        <v>20</v>
      </c>
      <c r="E67">
        <v>150</v>
      </c>
      <c r="F67" s="2">
        <v>0.09</v>
      </c>
    </row>
    <row r="68" spans="1:6" x14ac:dyDescent="0.3">
      <c r="A68" s="1">
        <v>43288</v>
      </c>
      <c r="B68" t="s">
        <v>6</v>
      </c>
      <c r="C68" t="s">
        <v>14</v>
      </c>
      <c r="D68">
        <v>23</v>
      </c>
      <c r="E68">
        <v>230</v>
      </c>
      <c r="F68" s="2">
        <v>0.06</v>
      </c>
    </row>
    <row r="69" spans="1:6" x14ac:dyDescent="0.3">
      <c r="A69" s="1">
        <v>43288</v>
      </c>
      <c r="B69" t="s">
        <v>10</v>
      </c>
      <c r="C69" t="s">
        <v>12</v>
      </c>
      <c r="D69">
        <v>16</v>
      </c>
      <c r="E69">
        <v>80</v>
      </c>
      <c r="F69" s="2">
        <v>0.04</v>
      </c>
    </row>
    <row r="70" spans="1:6" x14ac:dyDescent="0.3">
      <c r="A70" s="1">
        <v>43288</v>
      </c>
      <c r="B70" t="s">
        <v>6</v>
      </c>
      <c r="C70" t="s">
        <v>13</v>
      </c>
      <c r="D70">
        <v>22</v>
      </c>
      <c r="E70">
        <v>230</v>
      </c>
      <c r="F70" s="2">
        <v>0.1</v>
      </c>
    </row>
    <row r="71" spans="1:6" x14ac:dyDescent="0.3">
      <c r="A71" s="1">
        <v>43288</v>
      </c>
      <c r="B71" t="s">
        <v>6</v>
      </c>
      <c r="C71" t="s">
        <v>15</v>
      </c>
      <c r="D71">
        <v>15</v>
      </c>
      <c r="E71">
        <v>230</v>
      </c>
      <c r="F71" s="2">
        <v>0.11</v>
      </c>
    </row>
    <row r="72" spans="1:6" x14ac:dyDescent="0.3">
      <c r="A72" s="1">
        <v>43288</v>
      </c>
      <c r="B72" t="s">
        <v>8</v>
      </c>
      <c r="C72" t="s">
        <v>12</v>
      </c>
      <c r="D72">
        <v>15</v>
      </c>
      <c r="E72">
        <v>40</v>
      </c>
      <c r="F72" s="2">
        <v>0.04</v>
      </c>
    </row>
    <row r="73" spans="1:6" x14ac:dyDescent="0.3">
      <c r="A73" s="1">
        <v>43288</v>
      </c>
      <c r="B73" t="s">
        <v>10</v>
      </c>
      <c r="C73" t="s">
        <v>12</v>
      </c>
      <c r="D73">
        <v>2</v>
      </c>
      <c r="E73">
        <v>80</v>
      </c>
      <c r="F73" s="2">
        <v>7.0000000000000007E-2</v>
      </c>
    </row>
    <row r="74" spans="1:6" x14ac:dyDescent="0.3">
      <c r="A74" s="1">
        <v>43289</v>
      </c>
      <c r="B74" t="s">
        <v>7</v>
      </c>
      <c r="C74" t="s">
        <v>11</v>
      </c>
      <c r="D74">
        <v>22</v>
      </c>
      <c r="E74">
        <v>150</v>
      </c>
      <c r="F74" s="2">
        <v>0.05</v>
      </c>
    </row>
    <row r="75" spans="1:6" x14ac:dyDescent="0.3">
      <c r="A75" s="1">
        <v>43289</v>
      </c>
      <c r="B75" t="s">
        <v>8</v>
      </c>
      <c r="C75" t="s">
        <v>13</v>
      </c>
      <c r="D75">
        <v>20</v>
      </c>
      <c r="E75">
        <v>40</v>
      </c>
      <c r="F75" s="2">
        <v>7.0000000000000007E-2</v>
      </c>
    </row>
    <row r="76" spans="1:6" x14ac:dyDescent="0.3">
      <c r="A76" s="1">
        <v>43289</v>
      </c>
      <c r="B76" t="s">
        <v>6</v>
      </c>
      <c r="C76" t="s">
        <v>14</v>
      </c>
      <c r="D76">
        <v>2</v>
      </c>
      <c r="E76">
        <v>230</v>
      </c>
      <c r="F76" s="2">
        <v>0.09</v>
      </c>
    </row>
    <row r="77" spans="1:6" x14ac:dyDescent="0.3">
      <c r="A77" s="1">
        <v>43289</v>
      </c>
      <c r="B77" t="s">
        <v>8</v>
      </c>
      <c r="C77" t="s">
        <v>14</v>
      </c>
      <c r="D77">
        <v>7</v>
      </c>
      <c r="E77">
        <v>40</v>
      </c>
      <c r="F77" s="2">
        <v>0.11</v>
      </c>
    </row>
    <row r="78" spans="1:6" x14ac:dyDescent="0.3">
      <c r="A78" s="1">
        <v>43289</v>
      </c>
      <c r="B78" t="s">
        <v>10</v>
      </c>
      <c r="C78" t="s">
        <v>14</v>
      </c>
      <c r="D78">
        <v>7</v>
      </c>
      <c r="E78">
        <v>80</v>
      </c>
      <c r="F78" s="2">
        <v>7.0000000000000007E-2</v>
      </c>
    </row>
    <row r="79" spans="1:6" x14ac:dyDescent="0.3">
      <c r="A79" s="1">
        <v>43289</v>
      </c>
      <c r="B79" t="s">
        <v>8</v>
      </c>
      <c r="C79" t="s">
        <v>14</v>
      </c>
      <c r="D79">
        <v>9</v>
      </c>
      <c r="E79">
        <v>40</v>
      </c>
      <c r="F79" s="2">
        <v>0.06</v>
      </c>
    </row>
    <row r="80" spans="1:6" x14ac:dyDescent="0.3">
      <c r="A80" s="1">
        <v>43289</v>
      </c>
      <c r="B80" t="s">
        <v>8</v>
      </c>
      <c r="C80" t="s">
        <v>11</v>
      </c>
      <c r="D80">
        <v>18</v>
      </c>
      <c r="E80">
        <v>40</v>
      </c>
      <c r="F80" s="2">
        <v>0.11</v>
      </c>
    </row>
    <row r="81" spans="1:6" x14ac:dyDescent="0.3">
      <c r="A81" s="1">
        <v>43289</v>
      </c>
      <c r="B81" t="s">
        <v>6</v>
      </c>
      <c r="C81" t="s">
        <v>11</v>
      </c>
      <c r="D81">
        <v>20</v>
      </c>
      <c r="E81">
        <v>230</v>
      </c>
      <c r="F81" s="2">
        <v>0.04</v>
      </c>
    </row>
    <row r="82" spans="1:6" x14ac:dyDescent="0.3">
      <c r="A82" s="1">
        <v>43289</v>
      </c>
      <c r="B82" t="s">
        <v>10</v>
      </c>
      <c r="C82" t="s">
        <v>15</v>
      </c>
      <c r="D82">
        <v>23</v>
      </c>
      <c r="E82">
        <v>80</v>
      </c>
      <c r="F82" s="2">
        <v>0.05</v>
      </c>
    </row>
    <row r="83" spans="1:6" x14ac:dyDescent="0.3">
      <c r="A83" s="1">
        <v>43289</v>
      </c>
      <c r="B83" t="s">
        <v>7</v>
      </c>
      <c r="C83" t="s">
        <v>13</v>
      </c>
      <c r="D83">
        <v>11</v>
      </c>
      <c r="E83">
        <v>150</v>
      </c>
      <c r="F83" s="2">
        <v>0.09</v>
      </c>
    </row>
    <row r="84" spans="1:6" x14ac:dyDescent="0.3">
      <c r="A84" s="1">
        <v>43289</v>
      </c>
      <c r="B84" t="s">
        <v>7</v>
      </c>
      <c r="C84" t="s">
        <v>11</v>
      </c>
      <c r="D84">
        <v>17</v>
      </c>
      <c r="E84">
        <v>150</v>
      </c>
      <c r="F84" s="2">
        <v>0.12</v>
      </c>
    </row>
    <row r="85" spans="1:6" x14ac:dyDescent="0.3">
      <c r="A85" s="1">
        <v>43289</v>
      </c>
      <c r="B85" t="s">
        <v>6</v>
      </c>
      <c r="C85" t="s">
        <v>13</v>
      </c>
      <c r="D85">
        <v>2</v>
      </c>
      <c r="E85">
        <v>230</v>
      </c>
      <c r="F85" s="2">
        <v>0.08</v>
      </c>
    </row>
    <row r="86" spans="1:6" x14ac:dyDescent="0.3">
      <c r="A86" s="1">
        <v>43289</v>
      </c>
      <c r="B86" t="s">
        <v>10</v>
      </c>
      <c r="C86" t="s">
        <v>15</v>
      </c>
      <c r="D86">
        <v>10</v>
      </c>
      <c r="E86">
        <v>80</v>
      </c>
      <c r="F86" s="2">
        <v>0.11</v>
      </c>
    </row>
    <row r="87" spans="1:6" x14ac:dyDescent="0.3">
      <c r="A87" s="1">
        <v>43290</v>
      </c>
      <c r="B87" t="s">
        <v>9</v>
      </c>
      <c r="C87" t="s">
        <v>14</v>
      </c>
      <c r="D87">
        <v>22</v>
      </c>
      <c r="E87">
        <v>16</v>
      </c>
      <c r="F87" s="2">
        <v>0.03</v>
      </c>
    </row>
    <row r="88" spans="1:6" x14ac:dyDescent="0.3">
      <c r="A88" s="1">
        <v>43290</v>
      </c>
      <c r="B88" t="s">
        <v>9</v>
      </c>
      <c r="C88" t="s">
        <v>15</v>
      </c>
      <c r="D88">
        <v>9</v>
      </c>
      <c r="E88">
        <v>16</v>
      </c>
      <c r="F88" s="2">
        <v>0.05</v>
      </c>
    </row>
    <row r="89" spans="1:6" x14ac:dyDescent="0.3">
      <c r="A89" s="1">
        <v>43290</v>
      </c>
      <c r="B89" t="s">
        <v>8</v>
      </c>
      <c r="C89" t="s">
        <v>15</v>
      </c>
      <c r="D89">
        <v>4</v>
      </c>
      <c r="E89">
        <v>40</v>
      </c>
      <c r="F89" s="2">
        <v>0.1</v>
      </c>
    </row>
    <row r="90" spans="1:6" x14ac:dyDescent="0.3">
      <c r="A90" s="1">
        <v>43290</v>
      </c>
      <c r="B90" t="s">
        <v>10</v>
      </c>
      <c r="C90" t="s">
        <v>13</v>
      </c>
      <c r="D90">
        <v>9</v>
      </c>
      <c r="E90">
        <v>80</v>
      </c>
      <c r="F90" s="2">
        <v>0.02</v>
      </c>
    </row>
    <row r="91" spans="1:6" x14ac:dyDescent="0.3">
      <c r="A91" s="1">
        <v>43290</v>
      </c>
      <c r="B91" t="s">
        <v>6</v>
      </c>
      <c r="C91" t="s">
        <v>15</v>
      </c>
      <c r="D91">
        <v>6</v>
      </c>
      <c r="E91">
        <v>230</v>
      </c>
      <c r="F91" s="2">
        <v>0.05</v>
      </c>
    </row>
    <row r="92" spans="1:6" x14ac:dyDescent="0.3">
      <c r="A92" s="1">
        <v>43290</v>
      </c>
      <c r="B92" t="s">
        <v>10</v>
      </c>
      <c r="C92" t="s">
        <v>14</v>
      </c>
      <c r="D92">
        <v>14</v>
      </c>
      <c r="E92">
        <v>80</v>
      </c>
      <c r="F92" s="2">
        <v>0.05</v>
      </c>
    </row>
    <row r="93" spans="1:6" x14ac:dyDescent="0.3">
      <c r="A93" s="1">
        <v>43290</v>
      </c>
      <c r="B93" t="s">
        <v>9</v>
      </c>
      <c r="C93" t="s">
        <v>13</v>
      </c>
      <c r="D93">
        <v>17</v>
      </c>
      <c r="E93">
        <v>16</v>
      </c>
      <c r="F93" s="2">
        <v>0.08</v>
      </c>
    </row>
    <row r="94" spans="1:6" x14ac:dyDescent="0.3">
      <c r="A94" s="1">
        <v>43290</v>
      </c>
      <c r="B94" t="s">
        <v>7</v>
      </c>
      <c r="C94" t="s">
        <v>12</v>
      </c>
      <c r="D94">
        <v>22</v>
      </c>
      <c r="E94">
        <v>150</v>
      </c>
      <c r="F94" s="2">
        <v>0.02</v>
      </c>
    </row>
    <row r="95" spans="1:6" x14ac:dyDescent="0.3">
      <c r="A95" s="1">
        <v>43290</v>
      </c>
      <c r="B95" t="s">
        <v>8</v>
      </c>
      <c r="C95" t="s">
        <v>13</v>
      </c>
      <c r="D95">
        <v>17</v>
      </c>
      <c r="E95">
        <v>40</v>
      </c>
      <c r="F95" s="2">
        <v>0.02</v>
      </c>
    </row>
    <row r="96" spans="1:6" x14ac:dyDescent="0.3">
      <c r="A96" s="1">
        <v>43290</v>
      </c>
      <c r="B96" t="s">
        <v>10</v>
      </c>
      <c r="C96" t="s">
        <v>13</v>
      </c>
      <c r="D96">
        <v>17</v>
      </c>
      <c r="E96">
        <v>80</v>
      </c>
      <c r="F96" s="2">
        <v>7.0000000000000007E-2</v>
      </c>
    </row>
    <row r="97" spans="1:6" x14ac:dyDescent="0.3">
      <c r="A97" s="1">
        <v>43290</v>
      </c>
      <c r="B97" t="s">
        <v>7</v>
      </c>
      <c r="C97" t="s">
        <v>14</v>
      </c>
      <c r="D97">
        <v>4</v>
      </c>
      <c r="E97">
        <v>150</v>
      </c>
      <c r="F97" s="2">
        <v>0.12</v>
      </c>
    </row>
    <row r="98" spans="1:6" x14ac:dyDescent="0.3">
      <c r="A98" s="1">
        <v>43290</v>
      </c>
      <c r="B98" t="s">
        <v>9</v>
      </c>
      <c r="C98" t="s">
        <v>14</v>
      </c>
      <c r="D98">
        <v>14</v>
      </c>
      <c r="E98">
        <v>16</v>
      </c>
      <c r="F98" s="2">
        <v>0.12</v>
      </c>
    </row>
    <row r="99" spans="1:6" x14ac:dyDescent="0.3">
      <c r="A99" s="1">
        <v>43290</v>
      </c>
      <c r="B99" t="s">
        <v>9</v>
      </c>
      <c r="C99" t="s">
        <v>11</v>
      </c>
      <c r="D99">
        <v>18</v>
      </c>
      <c r="E99">
        <v>16</v>
      </c>
      <c r="F99" s="2">
        <v>0.11</v>
      </c>
    </row>
    <row r="100" spans="1:6" x14ac:dyDescent="0.3">
      <c r="A100" s="1">
        <v>43290</v>
      </c>
      <c r="B100" t="s">
        <v>10</v>
      </c>
      <c r="C100" t="s">
        <v>13</v>
      </c>
      <c r="D100">
        <v>22</v>
      </c>
      <c r="E100">
        <v>80</v>
      </c>
      <c r="F100" s="2">
        <v>0.09</v>
      </c>
    </row>
    <row r="101" spans="1:6" x14ac:dyDescent="0.3">
      <c r="A101" s="1">
        <v>43290</v>
      </c>
      <c r="B101" t="s">
        <v>6</v>
      </c>
      <c r="C101" t="s">
        <v>12</v>
      </c>
      <c r="D101">
        <v>12</v>
      </c>
      <c r="E101">
        <v>230</v>
      </c>
      <c r="F101" s="2">
        <v>0.03</v>
      </c>
    </row>
    <row r="102" spans="1:6" x14ac:dyDescent="0.3">
      <c r="A102" s="1">
        <v>43290</v>
      </c>
      <c r="B102" t="s">
        <v>8</v>
      </c>
      <c r="C102" t="s">
        <v>12</v>
      </c>
      <c r="D102">
        <v>12</v>
      </c>
      <c r="E102">
        <v>40</v>
      </c>
      <c r="F102" s="2">
        <v>0.1</v>
      </c>
    </row>
    <row r="103" spans="1:6" x14ac:dyDescent="0.3">
      <c r="A103" s="1">
        <v>43291</v>
      </c>
      <c r="B103" t="s">
        <v>8</v>
      </c>
      <c r="C103" t="s">
        <v>13</v>
      </c>
      <c r="D103">
        <v>7</v>
      </c>
      <c r="E103">
        <v>40</v>
      </c>
      <c r="F103" s="2">
        <v>0.12</v>
      </c>
    </row>
    <row r="104" spans="1:6" x14ac:dyDescent="0.3">
      <c r="A104" s="1">
        <v>43291</v>
      </c>
      <c r="B104" t="s">
        <v>10</v>
      </c>
      <c r="C104" t="s">
        <v>11</v>
      </c>
      <c r="D104">
        <v>12</v>
      </c>
      <c r="E104">
        <v>80</v>
      </c>
      <c r="F104" s="2">
        <v>0.04</v>
      </c>
    </row>
    <row r="105" spans="1:6" x14ac:dyDescent="0.3">
      <c r="A105" s="1">
        <v>43291</v>
      </c>
      <c r="B105" t="s">
        <v>9</v>
      </c>
      <c r="C105" t="s">
        <v>13</v>
      </c>
      <c r="D105">
        <v>17</v>
      </c>
      <c r="E105">
        <v>16</v>
      </c>
      <c r="F105" s="2">
        <v>0.1</v>
      </c>
    </row>
    <row r="106" spans="1:6" x14ac:dyDescent="0.3">
      <c r="A106" s="1">
        <v>43291</v>
      </c>
      <c r="B106" t="s">
        <v>6</v>
      </c>
      <c r="C106" t="s">
        <v>12</v>
      </c>
      <c r="D106">
        <v>6</v>
      </c>
      <c r="E106">
        <v>230</v>
      </c>
      <c r="F106" s="2">
        <v>0.1</v>
      </c>
    </row>
    <row r="107" spans="1:6" x14ac:dyDescent="0.3">
      <c r="A107" s="1">
        <v>43291</v>
      </c>
      <c r="B107" t="s">
        <v>8</v>
      </c>
      <c r="C107" t="s">
        <v>11</v>
      </c>
      <c r="D107">
        <v>11</v>
      </c>
      <c r="E107">
        <v>40</v>
      </c>
      <c r="F107" s="2">
        <v>0.04</v>
      </c>
    </row>
    <row r="108" spans="1:6" x14ac:dyDescent="0.3">
      <c r="A108" s="1">
        <v>43291</v>
      </c>
      <c r="B108" t="s">
        <v>9</v>
      </c>
      <c r="C108" t="s">
        <v>14</v>
      </c>
      <c r="D108">
        <v>10</v>
      </c>
      <c r="E108">
        <v>16</v>
      </c>
      <c r="F108" s="2">
        <v>0.04</v>
      </c>
    </row>
    <row r="109" spans="1:6" x14ac:dyDescent="0.3">
      <c r="A109" s="1">
        <v>43291</v>
      </c>
      <c r="B109" t="s">
        <v>10</v>
      </c>
      <c r="C109" t="s">
        <v>11</v>
      </c>
      <c r="D109">
        <v>6</v>
      </c>
      <c r="E109">
        <v>80</v>
      </c>
      <c r="F109" s="2">
        <v>7.0000000000000007E-2</v>
      </c>
    </row>
    <row r="110" spans="1:6" x14ac:dyDescent="0.3">
      <c r="A110" s="1">
        <v>43291</v>
      </c>
      <c r="B110" t="s">
        <v>8</v>
      </c>
      <c r="C110" t="s">
        <v>14</v>
      </c>
      <c r="D110">
        <v>11</v>
      </c>
      <c r="E110">
        <v>40</v>
      </c>
      <c r="F110" s="2">
        <v>0.09</v>
      </c>
    </row>
    <row r="111" spans="1:6" x14ac:dyDescent="0.3">
      <c r="A111" s="1">
        <v>43291</v>
      </c>
      <c r="B111" t="s">
        <v>10</v>
      </c>
      <c r="C111" t="s">
        <v>13</v>
      </c>
      <c r="D111">
        <v>16</v>
      </c>
      <c r="E111">
        <v>80</v>
      </c>
      <c r="F111" s="2">
        <v>0.09</v>
      </c>
    </row>
    <row r="112" spans="1:6" x14ac:dyDescent="0.3">
      <c r="A112" s="1">
        <v>43291</v>
      </c>
      <c r="B112" t="s">
        <v>8</v>
      </c>
      <c r="C112" t="s">
        <v>14</v>
      </c>
      <c r="D112">
        <v>13</v>
      </c>
      <c r="E112">
        <v>40</v>
      </c>
      <c r="F112" s="2">
        <v>0.09</v>
      </c>
    </row>
    <row r="113" spans="1:6" x14ac:dyDescent="0.3">
      <c r="A113" s="1">
        <v>43291</v>
      </c>
      <c r="B113" t="s">
        <v>6</v>
      </c>
      <c r="C113" t="s">
        <v>11</v>
      </c>
      <c r="D113">
        <v>5</v>
      </c>
      <c r="E113">
        <v>230</v>
      </c>
      <c r="F113" s="2">
        <v>0.1</v>
      </c>
    </row>
    <row r="114" spans="1:6" x14ac:dyDescent="0.3">
      <c r="A114" s="1">
        <v>43292</v>
      </c>
      <c r="B114" t="s">
        <v>8</v>
      </c>
      <c r="C114" t="s">
        <v>13</v>
      </c>
      <c r="D114">
        <v>7</v>
      </c>
      <c r="E114">
        <v>40</v>
      </c>
      <c r="F114" s="2">
        <v>0.05</v>
      </c>
    </row>
    <row r="115" spans="1:6" x14ac:dyDescent="0.3">
      <c r="A115" s="1">
        <v>43292</v>
      </c>
      <c r="B115" t="s">
        <v>10</v>
      </c>
      <c r="C115" t="s">
        <v>15</v>
      </c>
      <c r="D115">
        <v>14</v>
      </c>
      <c r="E115">
        <v>80</v>
      </c>
      <c r="F115" s="2">
        <v>0.1</v>
      </c>
    </row>
    <row r="116" spans="1:6" x14ac:dyDescent="0.3">
      <c r="A116" s="1">
        <v>43292</v>
      </c>
      <c r="B116" t="s">
        <v>9</v>
      </c>
      <c r="C116" t="s">
        <v>13</v>
      </c>
      <c r="D116">
        <v>12</v>
      </c>
      <c r="E116">
        <v>16</v>
      </c>
      <c r="F116" s="2">
        <v>0.04</v>
      </c>
    </row>
    <row r="117" spans="1:6" x14ac:dyDescent="0.3">
      <c r="A117" s="1">
        <v>43292</v>
      </c>
      <c r="B117" t="s">
        <v>6</v>
      </c>
      <c r="C117" t="s">
        <v>15</v>
      </c>
      <c r="D117">
        <v>14</v>
      </c>
      <c r="E117">
        <v>230</v>
      </c>
      <c r="F117" s="2">
        <v>0.03</v>
      </c>
    </row>
    <row r="118" spans="1:6" x14ac:dyDescent="0.3">
      <c r="A118" s="1">
        <v>43292</v>
      </c>
      <c r="B118" t="s">
        <v>10</v>
      </c>
      <c r="C118" t="s">
        <v>13</v>
      </c>
      <c r="D118">
        <v>21</v>
      </c>
      <c r="E118">
        <v>80</v>
      </c>
      <c r="F118" s="2">
        <v>0.09</v>
      </c>
    </row>
    <row r="119" spans="1:6" x14ac:dyDescent="0.3">
      <c r="A119" s="1">
        <v>43292</v>
      </c>
      <c r="B119" t="s">
        <v>6</v>
      </c>
      <c r="C119" t="s">
        <v>15</v>
      </c>
      <c r="D119">
        <v>5</v>
      </c>
      <c r="E119">
        <v>230</v>
      </c>
      <c r="F119" s="2">
        <v>0.1</v>
      </c>
    </row>
    <row r="120" spans="1:6" x14ac:dyDescent="0.3">
      <c r="A120" s="1">
        <v>43292</v>
      </c>
      <c r="B120" t="s">
        <v>8</v>
      </c>
      <c r="C120" t="s">
        <v>13</v>
      </c>
      <c r="D120">
        <v>16</v>
      </c>
      <c r="E120">
        <v>40</v>
      </c>
      <c r="F120" s="2">
        <v>0.09</v>
      </c>
    </row>
    <row r="121" spans="1:6" x14ac:dyDescent="0.3">
      <c r="A121" s="1">
        <v>43292</v>
      </c>
      <c r="B121" t="s">
        <v>7</v>
      </c>
      <c r="C121" t="s">
        <v>12</v>
      </c>
      <c r="D121">
        <v>15</v>
      </c>
      <c r="E121">
        <v>150</v>
      </c>
      <c r="F121" s="2">
        <v>0.12</v>
      </c>
    </row>
    <row r="122" spans="1:6" x14ac:dyDescent="0.3">
      <c r="A122" s="1">
        <v>43292</v>
      </c>
      <c r="B122" t="s">
        <v>9</v>
      </c>
      <c r="C122" t="s">
        <v>13</v>
      </c>
      <c r="D122">
        <v>23</v>
      </c>
      <c r="E122">
        <v>16</v>
      </c>
      <c r="F122" s="2">
        <v>0.01</v>
      </c>
    </row>
    <row r="123" spans="1:6" x14ac:dyDescent="0.3">
      <c r="A123" s="1">
        <v>43292</v>
      </c>
      <c r="B123" t="s">
        <v>9</v>
      </c>
      <c r="C123" t="s">
        <v>12</v>
      </c>
      <c r="D123">
        <v>22</v>
      </c>
      <c r="E123">
        <v>16</v>
      </c>
      <c r="F123" s="2">
        <v>0.04</v>
      </c>
    </row>
    <row r="124" spans="1:6" x14ac:dyDescent="0.3">
      <c r="A124" s="1">
        <v>43292</v>
      </c>
      <c r="B124" t="s">
        <v>10</v>
      </c>
      <c r="C124" t="s">
        <v>11</v>
      </c>
      <c r="D124">
        <v>20</v>
      </c>
      <c r="E124">
        <v>80</v>
      </c>
      <c r="F124" s="2">
        <v>0.01</v>
      </c>
    </row>
    <row r="125" spans="1:6" x14ac:dyDescent="0.3">
      <c r="A125" s="1">
        <v>43292</v>
      </c>
      <c r="B125" t="s">
        <v>8</v>
      </c>
      <c r="C125" t="s">
        <v>14</v>
      </c>
      <c r="D125">
        <v>6</v>
      </c>
      <c r="E125">
        <v>40</v>
      </c>
      <c r="F125" s="2">
        <v>7.0000000000000007E-2</v>
      </c>
    </row>
    <row r="126" spans="1:6" x14ac:dyDescent="0.3">
      <c r="A126" s="1">
        <v>43293</v>
      </c>
      <c r="B126" t="s">
        <v>7</v>
      </c>
      <c r="C126" t="s">
        <v>12</v>
      </c>
      <c r="D126">
        <v>10</v>
      </c>
      <c r="E126">
        <v>150</v>
      </c>
      <c r="F126" s="2">
        <v>0.01</v>
      </c>
    </row>
    <row r="127" spans="1:6" x14ac:dyDescent="0.3">
      <c r="A127" s="1">
        <v>43293</v>
      </c>
      <c r="B127" t="s">
        <v>10</v>
      </c>
      <c r="C127" t="s">
        <v>14</v>
      </c>
      <c r="D127">
        <v>17</v>
      </c>
      <c r="E127">
        <v>80</v>
      </c>
      <c r="F127" s="2">
        <v>0.05</v>
      </c>
    </row>
    <row r="128" spans="1:6" x14ac:dyDescent="0.3">
      <c r="A128" s="1">
        <v>43293</v>
      </c>
      <c r="B128" t="s">
        <v>7</v>
      </c>
      <c r="C128" t="s">
        <v>11</v>
      </c>
      <c r="D128">
        <v>13</v>
      </c>
      <c r="E128">
        <v>150</v>
      </c>
      <c r="F128" s="2">
        <v>0.05</v>
      </c>
    </row>
    <row r="129" spans="1:6" x14ac:dyDescent="0.3">
      <c r="A129" s="1">
        <v>43293</v>
      </c>
      <c r="B129" t="s">
        <v>6</v>
      </c>
      <c r="C129" t="s">
        <v>14</v>
      </c>
      <c r="D129">
        <v>8</v>
      </c>
      <c r="E129">
        <v>230</v>
      </c>
      <c r="F129" s="2">
        <v>0.05</v>
      </c>
    </row>
    <row r="130" spans="1:6" x14ac:dyDescent="0.3">
      <c r="A130" s="1">
        <v>43293</v>
      </c>
      <c r="B130" t="s">
        <v>9</v>
      </c>
      <c r="C130" t="s">
        <v>11</v>
      </c>
      <c r="D130">
        <v>10</v>
      </c>
      <c r="E130">
        <v>16</v>
      </c>
      <c r="F130" s="2">
        <v>0.08</v>
      </c>
    </row>
    <row r="131" spans="1:6" x14ac:dyDescent="0.3">
      <c r="A131" s="1">
        <v>43293</v>
      </c>
      <c r="B131" t="s">
        <v>8</v>
      </c>
      <c r="C131" t="s">
        <v>12</v>
      </c>
      <c r="D131">
        <v>4</v>
      </c>
      <c r="E131">
        <v>40</v>
      </c>
      <c r="F131" s="2">
        <v>0.06</v>
      </c>
    </row>
    <row r="132" spans="1:6" x14ac:dyDescent="0.3">
      <c r="A132" s="1">
        <v>43293</v>
      </c>
      <c r="B132" t="s">
        <v>8</v>
      </c>
      <c r="C132" t="s">
        <v>13</v>
      </c>
      <c r="D132">
        <v>18</v>
      </c>
      <c r="E132">
        <v>40</v>
      </c>
      <c r="F132" s="2">
        <v>0.06</v>
      </c>
    </row>
    <row r="133" spans="1:6" x14ac:dyDescent="0.3">
      <c r="A133" s="1">
        <v>43293</v>
      </c>
      <c r="B133" t="s">
        <v>7</v>
      </c>
      <c r="C133" t="s">
        <v>14</v>
      </c>
      <c r="D133">
        <v>15</v>
      </c>
      <c r="E133">
        <v>150</v>
      </c>
      <c r="F133" s="2">
        <v>0.05</v>
      </c>
    </row>
    <row r="134" spans="1:6" x14ac:dyDescent="0.3">
      <c r="A134" s="1">
        <v>43293</v>
      </c>
      <c r="B134" t="s">
        <v>7</v>
      </c>
      <c r="C134" t="s">
        <v>14</v>
      </c>
      <c r="D134">
        <v>3</v>
      </c>
      <c r="E134">
        <v>150</v>
      </c>
      <c r="F134" s="2">
        <v>0.01</v>
      </c>
    </row>
    <row r="135" spans="1:6" x14ac:dyDescent="0.3">
      <c r="A135" s="1">
        <v>43293</v>
      </c>
      <c r="B135" t="s">
        <v>9</v>
      </c>
      <c r="C135" t="s">
        <v>11</v>
      </c>
      <c r="D135">
        <v>12</v>
      </c>
      <c r="E135">
        <v>16</v>
      </c>
      <c r="F135" s="2">
        <v>0.11</v>
      </c>
    </row>
    <row r="136" spans="1:6" x14ac:dyDescent="0.3">
      <c r="A136" s="1">
        <v>43294</v>
      </c>
      <c r="B136" t="s">
        <v>10</v>
      </c>
      <c r="C136" t="s">
        <v>13</v>
      </c>
      <c r="D136">
        <v>17</v>
      </c>
      <c r="E136">
        <v>80</v>
      </c>
      <c r="F136" s="2">
        <v>7.0000000000000007E-2</v>
      </c>
    </row>
    <row r="137" spans="1:6" x14ac:dyDescent="0.3">
      <c r="A137" s="1">
        <v>43294</v>
      </c>
      <c r="B137" t="s">
        <v>6</v>
      </c>
      <c r="C137" t="s">
        <v>11</v>
      </c>
      <c r="D137">
        <v>3</v>
      </c>
      <c r="E137">
        <v>230</v>
      </c>
      <c r="F137" s="2">
        <v>0.06</v>
      </c>
    </row>
    <row r="138" spans="1:6" x14ac:dyDescent="0.3">
      <c r="A138" s="1">
        <v>43294</v>
      </c>
      <c r="B138" t="s">
        <v>10</v>
      </c>
      <c r="C138" t="s">
        <v>15</v>
      </c>
      <c r="D138">
        <v>20</v>
      </c>
      <c r="E138">
        <v>80</v>
      </c>
      <c r="F138" s="2">
        <v>7.0000000000000007E-2</v>
      </c>
    </row>
    <row r="139" spans="1:6" x14ac:dyDescent="0.3">
      <c r="A139" s="1">
        <v>43294</v>
      </c>
      <c r="B139" t="s">
        <v>6</v>
      </c>
      <c r="C139" t="s">
        <v>12</v>
      </c>
      <c r="D139">
        <v>14</v>
      </c>
      <c r="E139">
        <v>230</v>
      </c>
      <c r="F139" s="2">
        <v>0.05</v>
      </c>
    </row>
    <row r="140" spans="1:6" x14ac:dyDescent="0.3">
      <c r="A140" s="1">
        <v>43294</v>
      </c>
      <c r="B140" t="s">
        <v>8</v>
      </c>
      <c r="C140" t="s">
        <v>13</v>
      </c>
      <c r="D140">
        <v>16</v>
      </c>
      <c r="E140">
        <v>40</v>
      </c>
      <c r="F140" s="2">
        <v>0.09</v>
      </c>
    </row>
    <row r="141" spans="1:6" x14ac:dyDescent="0.3">
      <c r="A141" s="1">
        <v>43294</v>
      </c>
      <c r="B141" t="s">
        <v>9</v>
      </c>
      <c r="C141" t="s">
        <v>12</v>
      </c>
      <c r="D141">
        <v>7</v>
      </c>
      <c r="E141">
        <v>16</v>
      </c>
      <c r="F141" s="2">
        <v>0.08</v>
      </c>
    </row>
    <row r="142" spans="1:6" x14ac:dyDescent="0.3">
      <c r="A142" s="1">
        <v>43294</v>
      </c>
      <c r="B142" t="s">
        <v>8</v>
      </c>
      <c r="C142" t="s">
        <v>12</v>
      </c>
      <c r="D142">
        <v>19</v>
      </c>
      <c r="E142">
        <v>40</v>
      </c>
      <c r="F142" s="2">
        <v>0.1</v>
      </c>
    </row>
    <row r="143" spans="1:6" x14ac:dyDescent="0.3">
      <c r="A143" s="1">
        <v>43294</v>
      </c>
      <c r="B143" t="s">
        <v>6</v>
      </c>
      <c r="C143" t="s">
        <v>14</v>
      </c>
      <c r="D143">
        <v>7</v>
      </c>
      <c r="E143">
        <v>230</v>
      </c>
      <c r="F143" s="2">
        <v>0.06</v>
      </c>
    </row>
    <row r="144" spans="1:6" x14ac:dyDescent="0.3">
      <c r="A144" s="1">
        <v>43294</v>
      </c>
      <c r="B144" t="s">
        <v>8</v>
      </c>
      <c r="C144" t="s">
        <v>13</v>
      </c>
      <c r="D144">
        <v>20</v>
      </c>
      <c r="E144">
        <v>40</v>
      </c>
      <c r="F144" s="2">
        <v>0.03</v>
      </c>
    </row>
    <row r="145" spans="1:6" x14ac:dyDescent="0.3">
      <c r="A145" s="1">
        <v>43294</v>
      </c>
      <c r="B145" t="s">
        <v>9</v>
      </c>
      <c r="C145" t="s">
        <v>15</v>
      </c>
      <c r="D145">
        <v>11</v>
      </c>
      <c r="E145">
        <v>16</v>
      </c>
      <c r="F145" s="2">
        <v>0.12</v>
      </c>
    </row>
    <row r="146" spans="1:6" x14ac:dyDescent="0.3">
      <c r="A146" s="1">
        <v>43294</v>
      </c>
      <c r="B146" t="s">
        <v>10</v>
      </c>
      <c r="C146" t="s">
        <v>13</v>
      </c>
      <c r="D146">
        <v>16</v>
      </c>
      <c r="E146">
        <v>80</v>
      </c>
      <c r="F146" s="2">
        <v>0.09</v>
      </c>
    </row>
    <row r="147" spans="1:6" x14ac:dyDescent="0.3">
      <c r="A147" s="1">
        <v>43294</v>
      </c>
      <c r="B147" t="s">
        <v>9</v>
      </c>
      <c r="C147" t="s">
        <v>11</v>
      </c>
      <c r="D147">
        <v>21</v>
      </c>
      <c r="E147">
        <v>16</v>
      </c>
      <c r="F147" s="2">
        <v>0.09</v>
      </c>
    </row>
    <row r="148" spans="1:6" x14ac:dyDescent="0.3">
      <c r="A148" s="1">
        <v>43294</v>
      </c>
      <c r="B148" t="s">
        <v>9</v>
      </c>
      <c r="C148" t="s">
        <v>11</v>
      </c>
      <c r="D148">
        <v>22</v>
      </c>
      <c r="E148">
        <v>16</v>
      </c>
      <c r="F148" s="2">
        <v>0.01</v>
      </c>
    </row>
    <row r="149" spans="1:6" x14ac:dyDescent="0.3">
      <c r="A149" s="1">
        <v>43294</v>
      </c>
      <c r="B149" t="s">
        <v>6</v>
      </c>
      <c r="C149" t="s">
        <v>14</v>
      </c>
      <c r="D149">
        <v>23</v>
      </c>
      <c r="E149">
        <v>230</v>
      </c>
      <c r="F149" s="2">
        <v>0.06</v>
      </c>
    </row>
    <row r="150" spans="1:6" x14ac:dyDescent="0.3">
      <c r="A150" s="1">
        <v>43294</v>
      </c>
      <c r="B150" t="s">
        <v>7</v>
      </c>
      <c r="C150" t="s">
        <v>11</v>
      </c>
      <c r="D150">
        <v>9</v>
      </c>
      <c r="E150">
        <v>150</v>
      </c>
      <c r="F150" s="2">
        <v>0.1</v>
      </c>
    </row>
    <row r="151" spans="1:6" x14ac:dyDescent="0.3">
      <c r="A151" s="1">
        <v>43294</v>
      </c>
      <c r="B151" t="s">
        <v>7</v>
      </c>
      <c r="C151" t="s">
        <v>15</v>
      </c>
      <c r="D151">
        <v>9</v>
      </c>
      <c r="E151">
        <v>150</v>
      </c>
      <c r="F151" s="2">
        <v>0.06</v>
      </c>
    </row>
    <row r="152" spans="1:6" x14ac:dyDescent="0.3">
      <c r="A152" s="1">
        <v>43295</v>
      </c>
      <c r="B152" t="s">
        <v>6</v>
      </c>
      <c r="C152" t="s">
        <v>11</v>
      </c>
      <c r="D152">
        <v>9</v>
      </c>
      <c r="E152">
        <v>230</v>
      </c>
      <c r="F152" s="2">
        <v>7.0000000000000007E-2</v>
      </c>
    </row>
    <row r="153" spans="1:6" x14ac:dyDescent="0.3">
      <c r="A153" s="1">
        <v>43295</v>
      </c>
      <c r="B153" t="s">
        <v>10</v>
      </c>
      <c r="C153" t="s">
        <v>15</v>
      </c>
      <c r="D153">
        <v>10</v>
      </c>
      <c r="E153">
        <v>80</v>
      </c>
      <c r="F153" s="2">
        <v>0.08</v>
      </c>
    </row>
    <row r="154" spans="1:6" x14ac:dyDescent="0.3">
      <c r="A154" s="1">
        <v>43295</v>
      </c>
      <c r="B154" t="s">
        <v>9</v>
      </c>
      <c r="C154" t="s">
        <v>15</v>
      </c>
      <c r="D154">
        <v>23</v>
      </c>
      <c r="E154">
        <v>16</v>
      </c>
      <c r="F154" s="2">
        <v>0.11</v>
      </c>
    </row>
    <row r="155" spans="1:6" x14ac:dyDescent="0.3">
      <c r="A155" s="1">
        <v>43295</v>
      </c>
      <c r="B155" t="s">
        <v>10</v>
      </c>
      <c r="C155" t="s">
        <v>14</v>
      </c>
      <c r="D155">
        <v>22</v>
      </c>
      <c r="E155">
        <v>80</v>
      </c>
      <c r="F155" s="2">
        <v>0.03</v>
      </c>
    </row>
    <row r="156" spans="1:6" x14ac:dyDescent="0.3">
      <c r="A156" s="1">
        <v>43295</v>
      </c>
      <c r="B156" t="s">
        <v>10</v>
      </c>
      <c r="C156" t="s">
        <v>14</v>
      </c>
      <c r="D156">
        <v>4</v>
      </c>
      <c r="E156">
        <v>80</v>
      </c>
      <c r="F156" s="2">
        <v>0.11</v>
      </c>
    </row>
    <row r="157" spans="1:6" x14ac:dyDescent="0.3">
      <c r="A157" s="1">
        <v>43295</v>
      </c>
      <c r="B157" t="s">
        <v>9</v>
      </c>
      <c r="C157" t="s">
        <v>11</v>
      </c>
      <c r="D157">
        <v>22</v>
      </c>
      <c r="E157">
        <v>16</v>
      </c>
      <c r="F157" s="2">
        <v>0.06</v>
      </c>
    </row>
    <row r="158" spans="1:6" x14ac:dyDescent="0.3">
      <c r="A158" s="1">
        <v>43295</v>
      </c>
      <c r="B158" t="s">
        <v>8</v>
      </c>
      <c r="C158" t="s">
        <v>12</v>
      </c>
      <c r="D158">
        <v>15</v>
      </c>
      <c r="E158">
        <v>40</v>
      </c>
      <c r="F158" s="2">
        <v>0.02</v>
      </c>
    </row>
    <row r="159" spans="1:6" x14ac:dyDescent="0.3">
      <c r="A159" s="1">
        <v>43295</v>
      </c>
      <c r="B159" t="s">
        <v>8</v>
      </c>
      <c r="C159" t="s">
        <v>13</v>
      </c>
      <c r="D159">
        <v>7</v>
      </c>
      <c r="E159">
        <v>40</v>
      </c>
      <c r="F159" s="2">
        <v>0.04</v>
      </c>
    </row>
    <row r="160" spans="1:6" x14ac:dyDescent="0.3">
      <c r="A160" s="1">
        <v>43295</v>
      </c>
      <c r="B160" t="s">
        <v>9</v>
      </c>
      <c r="C160" t="s">
        <v>13</v>
      </c>
      <c r="D160">
        <v>2</v>
      </c>
      <c r="E160">
        <v>16</v>
      </c>
      <c r="F160" s="2">
        <v>0.04</v>
      </c>
    </row>
    <row r="161" spans="1:6" x14ac:dyDescent="0.3">
      <c r="A161" s="1">
        <v>43295</v>
      </c>
      <c r="B161" t="s">
        <v>10</v>
      </c>
      <c r="C161" t="s">
        <v>14</v>
      </c>
      <c r="D161">
        <v>7</v>
      </c>
      <c r="E161">
        <v>80</v>
      </c>
      <c r="F161" s="2">
        <v>0.02</v>
      </c>
    </row>
    <row r="162" spans="1:6" x14ac:dyDescent="0.3">
      <c r="A162" s="1">
        <v>43296</v>
      </c>
      <c r="B162" t="s">
        <v>9</v>
      </c>
      <c r="C162" t="s">
        <v>13</v>
      </c>
      <c r="D162">
        <v>22</v>
      </c>
      <c r="E162">
        <v>16</v>
      </c>
      <c r="F162" s="2">
        <v>0.12</v>
      </c>
    </row>
    <row r="163" spans="1:6" x14ac:dyDescent="0.3">
      <c r="A163" s="1">
        <v>43296</v>
      </c>
      <c r="B163" t="s">
        <v>8</v>
      </c>
      <c r="C163" t="s">
        <v>12</v>
      </c>
      <c r="D163">
        <v>21</v>
      </c>
      <c r="E163">
        <v>40</v>
      </c>
      <c r="F163" s="2">
        <v>0.03</v>
      </c>
    </row>
    <row r="164" spans="1:6" x14ac:dyDescent="0.3">
      <c r="A164" s="1">
        <v>43296</v>
      </c>
      <c r="B164" t="s">
        <v>10</v>
      </c>
      <c r="C164" t="s">
        <v>11</v>
      </c>
      <c r="D164">
        <v>6</v>
      </c>
      <c r="E164">
        <v>80</v>
      </c>
      <c r="F164" s="2">
        <v>0.01</v>
      </c>
    </row>
    <row r="165" spans="1:6" x14ac:dyDescent="0.3">
      <c r="A165" s="1">
        <v>43296</v>
      </c>
      <c r="B165" t="s">
        <v>10</v>
      </c>
      <c r="C165" t="s">
        <v>13</v>
      </c>
      <c r="D165">
        <v>13</v>
      </c>
      <c r="E165">
        <v>80</v>
      </c>
      <c r="F165" s="2">
        <v>0.05</v>
      </c>
    </row>
    <row r="166" spans="1:6" x14ac:dyDescent="0.3">
      <c r="A166" s="1">
        <v>43296</v>
      </c>
      <c r="B166" t="s">
        <v>10</v>
      </c>
      <c r="C166" t="s">
        <v>14</v>
      </c>
      <c r="D166">
        <v>11</v>
      </c>
      <c r="E166">
        <v>80</v>
      </c>
      <c r="F166" s="2">
        <v>0.01</v>
      </c>
    </row>
    <row r="167" spans="1:6" x14ac:dyDescent="0.3">
      <c r="A167" s="1">
        <v>43296</v>
      </c>
      <c r="B167" t="s">
        <v>8</v>
      </c>
      <c r="C167" t="s">
        <v>11</v>
      </c>
      <c r="D167">
        <v>18</v>
      </c>
      <c r="E167">
        <v>40</v>
      </c>
      <c r="F167" s="2">
        <v>0.06</v>
      </c>
    </row>
    <row r="168" spans="1:6" x14ac:dyDescent="0.3">
      <c r="A168" s="1">
        <v>43296</v>
      </c>
      <c r="B168" t="s">
        <v>7</v>
      </c>
      <c r="C168" t="s">
        <v>14</v>
      </c>
      <c r="D168">
        <v>7</v>
      </c>
      <c r="E168">
        <v>150</v>
      </c>
      <c r="F168" s="2">
        <v>0.05</v>
      </c>
    </row>
    <row r="169" spans="1:6" x14ac:dyDescent="0.3">
      <c r="A169" s="1">
        <v>43296</v>
      </c>
      <c r="B169" t="s">
        <v>8</v>
      </c>
      <c r="C169" t="s">
        <v>11</v>
      </c>
      <c r="D169">
        <v>2</v>
      </c>
      <c r="E169">
        <v>40</v>
      </c>
      <c r="F169" s="2">
        <v>0.12</v>
      </c>
    </row>
    <row r="170" spans="1:6" x14ac:dyDescent="0.3">
      <c r="A170" s="1">
        <v>43296</v>
      </c>
      <c r="B170" t="s">
        <v>10</v>
      </c>
      <c r="C170" t="s">
        <v>12</v>
      </c>
      <c r="D170">
        <v>14</v>
      </c>
      <c r="E170">
        <v>80</v>
      </c>
      <c r="F170" s="2">
        <v>0.06</v>
      </c>
    </row>
    <row r="171" spans="1:6" x14ac:dyDescent="0.3">
      <c r="A171" s="1">
        <v>43296</v>
      </c>
      <c r="B171" t="s">
        <v>7</v>
      </c>
      <c r="C171" t="s">
        <v>13</v>
      </c>
      <c r="D171">
        <v>7</v>
      </c>
      <c r="E171">
        <v>150</v>
      </c>
      <c r="F171" s="2">
        <v>0.03</v>
      </c>
    </row>
    <row r="172" spans="1:6" x14ac:dyDescent="0.3">
      <c r="A172" s="1">
        <v>43296</v>
      </c>
      <c r="B172" t="s">
        <v>9</v>
      </c>
      <c r="C172" t="s">
        <v>14</v>
      </c>
      <c r="D172">
        <v>10</v>
      </c>
      <c r="E172">
        <v>16</v>
      </c>
      <c r="F172" s="2">
        <v>0.01</v>
      </c>
    </row>
    <row r="173" spans="1:6" x14ac:dyDescent="0.3">
      <c r="A173" s="1">
        <v>43297</v>
      </c>
      <c r="B173" t="s">
        <v>8</v>
      </c>
      <c r="C173" t="s">
        <v>12</v>
      </c>
      <c r="D173">
        <v>7</v>
      </c>
      <c r="E173">
        <v>40</v>
      </c>
      <c r="F173" s="2">
        <v>0.01</v>
      </c>
    </row>
    <row r="174" spans="1:6" x14ac:dyDescent="0.3">
      <c r="A174" s="1">
        <v>43297</v>
      </c>
      <c r="B174" t="s">
        <v>9</v>
      </c>
      <c r="C174" t="s">
        <v>14</v>
      </c>
      <c r="D174">
        <v>7</v>
      </c>
      <c r="E174">
        <v>16</v>
      </c>
      <c r="F174" s="2">
        <v>0.08</v>
      </c>
    </row>
    <row r="175" spans="1:6" x14ac:dyDescent="0.3">
      <c r="A175" s="1">
        <v>43297</v>
      </c>
      <c r="B175" t="s">
        <v>7</v>
      </c>
      <c r="C175" t="s">
        <v>15</v>
      </c>
      <c r="D175">
        <v>15</v>
      </c>
      <c r="E175">
        <v>150</v>
      </c>
      <c r="F175" s="2">
        <v>0.05</v>
      </c>
    </row>
    <row r="176" spans="1:6" x14ac:dyDescent="0.3">
      <c r="A176" s="1">
        <v>43297</v>
      </c>
      <c r="B176" t="s">
        <v>10</v>
      </c>
      <c r="C176" t="s">
        <v>11</v>
      </c>
      <c r="D176">
        <v>7</v>
      </c>
      <c r="E176">
        <v>80</v>
      </c>
      <c r="F176" s="2">
        <v>0.02</v>
      </c>
    </row>
    <row r="177" spans="1:6" x14ac:dyDescent="0.3">
      <c r="A177" s="1">
        <v>43297</v>
      </c>
      <c r="B177" t="s">
        <v>8</v>
      </c>
      <c r="C177" t="s">
        <v>15</v>
      </c>
      <c r="D177">
        <v>6</v>
      </c>
      <c r="E177">
        <v>40</v>
      </c>
      <c r="F177" s="2">
        <v>0.06</v>
      </c>
    </row>
    <row r="178" spans="1:6" x14ac:dyDescent="0.3">
      <c r="A178" s="1">
        <v>43297</v>
      </c>
      <c r="B178" t="s">
        <v>6</v>
      </c>
      <c r="C178" t="s">
        <v>11</v>
      </c>
      <c r="D178">
        <v>3</v>
      </c>
      <c r="E178">
        <v>230</v>
      </c>
      <c r="F178" s="2">
        <v>0.06</v>
      </c>
    </row>
    <row r="179" spans="1:6" x14ac:dyDescent="0.3">
      <c r="A179" s="1">
        <v>43297</v>
      </c>
      <c r="B179" t="s">
        <v>7</v>
      </c>
      <c r="C179" t="s">
        <v>15</v>
      </c>
      <c r="D179">
        <v>20</v>
      </c>
      <c r="E179">
        <v>150</v>
      </c>
      <c r="F179" s="2">
        <v>0.04</v>
      </c>
    </row>
    <row r="180" spans="1:6" x14ac:dyDescent="0.3">
      <c r="A180" s="1">
        <v>43297</v>
      </c>
      <c r="B180" t="s">
        <v>6</v>
      </c>
      <c r="C180" t="s">
        <v>15</v>
      </c>
      <c r="D180">
        <v>20</v>
      </c>
      <c r="E180">
        <v>230</v>
      </c>
      <c r="F180" s="2">
        <v>0.06</v>
      </c>
    </row>
    <row r="181" spans="1:6" x14ac:dyDescent="0.3">
      <c r="A181" s="1">
        <v>43297</v>
      </c>
      <c r="B181" t="s">
        <v>9</v>
      </c>
      <c r="C181" t="s">
        <v>15</v>
      </c>
      <c r="D181">
        <v>14</v>
      </c>
      <c r="E181">
        <v>16</v>
      </c>
      <c r="F181" s="2">
        <v>0.01</v>
      </c>
    </row>
    <row r="182" spans="1:6" x14ac:dyDescent="0.3">
      <c r="A182" s="1">
        <v>43297</v>
      </c>
      <c r="B182" t="s">
        <v>7</v>
      </c>
      <c r="C182" t="s">
        <v>15</v>
      </c>
      <c r="D182">
        <v>20</v>
      </c>
      <c r="E182">
        <v>150</v>
      </c>
      <c r="F182" s="2">
        <v>0.04</v>
      </c>
    </row>
    <row r="183" spans="1:6" x14ac:dyDescent="0.3">
      <c r="A183" s="1">
        <v>43297</v>
      </c>
      <c r="B183" t="s">
        <v>10</v>
      </c>
      <c r="C183" t="s">
        <v>11</v>
      </c>
      <c r="D183">
        <v>17</v>
      </c>
      <c r="E183">
        <v>80</v>
      </c>
      <c r="F183" s="2">
        <v>0.09</v>
      </c>
    </row>
    <row r="184" spans="1:6" x14ac:dyDescent="0.3">
      <c r="A184" s="1">
        <v>43298</v>
      </c>
      <c r="B184" t="s">
        <v>7</v>
      </c>
      <c r="C184" t="s">
        <v>15</v>
      </c>
      <c r="D184">
        <v>20</v>
      </c>
      <c r="E184">
        <v>150</v>
      </c>
      <c r="F184" s="2">
        <v>0.12</v>
      </c>
    </row>
    <row r="185" spans="1:6" x14ac:dyDescent="0.3">
      <c r="A185" s="1">
        <v>43298</v>
      </c>
      <c r="B185" t="s">
        <v>9</v>
      </c>
      <c r="C185" t="s">
        <v>15</v>
      </c>
      <c r="D185">
        <v>11</v>
      </c>
      <c r="E185">
        <v>16</v>
      </c>
      <c r="F185" s="2">
        <v>0.04</v>
      </c>
    </row>
    <row r="186" spans="1:6" x14ac:dyDescent="0.3">
      <c r="A186" s="1">
        <v>43298</v>
      </c>
      <c r="B186" t="s">
        <v>6</v>
      </c>
      <c r="C186" t="s">
        <v>13</v>
      </c>
      <c r="D186">
        <v>7</v>
      </c>
      <c r="E186">
        <v>230</v>
      </c>
      <c r="F186" s="2">
        <v>0.05</v>
      </c>
    </row>
    <row r="187" spans="1:6" x14ac:dyDescent="0.3">
      <c r="A187" s="1">
        <v>43298</v>
      </c>
      <c r="B187" t="s">
        <v>8</v>
      </c>
      <c r="C187" t="s">
        <v>12</v>
      </c>
      <c r="D187">
        <v>14</v>
      </c>
      <c r="E187">
        <v>40</v>
      </c>
      <c r="F187" s="2">
        <v>0.06</v>
      </c>
    </row>
    <row r="188" spans="1:6" x14ac:dyDescent="0.3">
      <c r="A188" s="1">
        <v>43298</v>
      </c>
      <c r="B188" t="s">
        <v>10</v>
      </c>
      <c r="C188" t="s">
        <v>12</v>
      </c>
      <c r="D188">
        <v>13</v>
      </c>
      <c r="E188">
        <v>80</v>
      </c>
      <c r="F188" s="2">
        <v>0.06</v>
      </c>
    </row>
    <row r="189" spans="1:6" x14ac:dyDescent="0.3">
      <c r="A189" s="1">
        <v>43298</v>
      </c>
      <c r="B189" t="s">
        <v>9</v>
      </c>
      <c r="C189" t="s">
        <v>15</v>
      </c>
      <c r="D189">
        <v>17</v>
      </c>
      <c r="E189">
        <v>16</v>
      </c>
      <c r="F189" s="2">
        <v>0.05</v>
      </c>
    </row>
    <row r="190" spans="1:6" x14ac:dyDescent="0.3">
      <c r="A190" s="1">
        <v>43298</v>
      </c>
      <c r="B190" t="s">
        <v>6</v>
      </c>
      <c r="C190" t="s">
        <v>15</v>
      </c>
      <c r="D190">
        <v>12</v>
      </c>
      <c r="E190">
        <v>230</v>
      </c>
      <c r="F190" s="2">
        <v>0.03</v>
      </c>
    </row>
    <row r="191" spans="1:6" x14ac:dyDescent="0.3">
      <c r="A191" s="1">
        <v>43298</v>
      </c>
      <c r="B191" t="s">
        <v>8</v>
      </c>
      <c r="C191" t="s">
        <v>12</v>
      </c>
      <c r="D191">
        <v>4</v>
      </c>
      <c r="E191">
        <v>40</v>
      </c>
      <c r="F191" s="2">
        <v>0.12</v>
      </c>
    </row>
    <row r="192" spans="1:6" x14ac:dyDescent="0.3">
      <c r="A192" s="1">
        <v>43298</v>
      </c>
      <c r="B192" t="s">
        <v>9</v>
      </c>
      <c r="C192" t="s">
        <v>11</v>
      </c>
      <c r="D192">
        <v>20</v>
      </c>
      <c r="E192">
        <v>16</v>
      </c>
      <c r="F192" s="2">
        <v>0.01</v>
      </c>
    </row>
    <row r="193" spans="1:6" x14ac:dyDescent="0.3">
      <c r="A193" s="1">
        <v>43298</v>
      </c>
      <c r="B193" t="s">
        <v>10</v>
      </c>
      <c r="C193" t="s">
        <v>14</v>
      </c>
      <c r="D193">
        <v>8</v>
      </c>
      <c r="E193">
        <v>80</v>
      </c>
      <c r="F193" s="2">
        <v>0.06</v>
      </c>
    </row>
    <row r="194" spans="1:6" x14ac:dyDescent="0.3">
      <c r="A194" s="1">
        <v>43298</v>
      </c>
      <c r="B194" t="s">
        <v>10</v>
      </c>
      <c r="C194" t="s">
        <v>11</v>
      </c>
      <c r="D194">
        <v>18</v>
      </c>
      <c r="E194">
        <v>80</v>
      </c>
      <c r="F194" s="2">
        <v>0.02</v>
      </c>
    </row>
    <row r="195" spans="1:6" x14ac:dyDescent="0.3">
      <c r="A195" s="1">
        <v>43298</v>
      </c>
      <c r="B195" t="s">
        <v>9</v>
      </c>
      <c r="C195" t="s">
        <v>15</v>
      </c>
      <c r="D195">
        <v>6</v>
      </c>
      <c r="E195">
        <v>16</v>
      </c>
      <c r="F195" s="2">
        <v>0.06</v>
      </c>
    </row>
    <row r="196" spans="1:6" x14ac:dyDescent="0.3">
      <c r="A196" s="1">
        <v>43298</v>
      </c>
      <c r="B196" t="s">
        <v>10</v>
      </c>
      <c r="C196" t="s">
        <v>11</v>
      </c>
      <c r="D196">
        <v>9</v>
      </c>
      <c r="E196">
        <v>80</v>
      </c>
      <c r="F196" s="2">
        <v>0.04</v>
      </c>
    </row>
    <row r="197" spans="1:6" x14ac:dyDescent="0.3">
      <c r="A197" s="1">
        <v>43299</v>
      </c>
      <c r="B197" t="s">
        <v>10</v>
      </c>
      <c r="C197" t="s">
        <v>15</v>
      </c>
      <c r="D197">
        <v>8</v>
      </c>
      <c r="E197">
        <v>80</v>
      </c>
      <c r="F197" s="2">
        <v>0.02</v>
      </c>
    </row>
    <row r="198" spans="1:6" x14ac:dyDescent="0.3">
      <c r="A198" s="1">
        <v>43299</v>
      </c>
      <c r="B198" t="s">
        <v>7</v>
      </c>
      <c r="C198" t="s">
        <v>14</v>
      </c>
      <c r="D198">
        <v>6</v>
      </c>
      <c r="E198">
        <v>150</v>
      </c>
      <c r="F198" s="2">
        <v>0.03</v>
      </c>
    </row>
    <row r="199" spans="1:6" x14ac:dyDescent="0.3">
      <c r="A199" s="1">
        <v>43299</v>
      </c>
      <c r="B199" t="s">
        <v>9</v>
      </c>
      <c r="C199" t="s">
        <v>14</v>
      </c>
      <c r="D199">
        <v>14</v>
      </c>
      <c r="E199">
        <v>16</v>
      </c>
      <c r="F199" s="2">
        <v>0.12</v>
      </c>
    </row>
    <row r="200" spans="1:6" x14ac:dyDescent="0.3">
      <c r="A200" s="1">
        <v>43299</v>
      </c>
      <c r="B200" t="s">
        <v>10</v>
      </c>
      <c r="C200" t="s">
        <v>15</v>
      </c>
      <c r="D200">
        <v>6</v>
      </c>
      <c r="E200">
        <v>80</v>
      </c>
      <c r="F200" s="2">
        <v>0.09</v>
      </c>
    </row>
    <row r="201" spans="1:6" x14ac:dyDescent="0.3">
      <c r="A201" s="1">
        <v>43299</v>
      </c>
      <c r="B201" t="s">
        <v>8</v>
      </c>
      <c r="C201" t="s">
        <v>13</v>
      </c>
      <c r="D201">
        <v>23</v>
      </c>
      <c r="E201">
        <v>40</v>
      </c>
      <c r="F201" s="2">
        <v>0.04</v>
      </c>
    </row>
    <row r="202" spans="1:6" x14ac:dyDescent="0.3">
      <c r="A202" s="1">
        <v>43299</v>
      </c>
      <c r="B202" t="s">
        <v>8</v>
      </c>
      <c r="C202" t="s">
        <v>15</v>
      </c>
      <c r="D202">
        <v>12</v>
      </c>
      <c r="E202">
        <v>40</v>
      </c>
      <c r="F202" s="2">
        <v>0.02</v>
      </c>
    </row>
    <row r="203" spans="1:6" x14ac:dyDescent="0.3">
      <c r="A203" s="1">
        <v>43299</v>
      </c>
      <c r="B203" t="s">
        <v>8</v>
      </c>
      <c r="C203" t="s">
        <v>14</v>
      </c>
      <c r="D203">
        <v>22</v>
      </c>
      <c r="E203">
        <v>40</v>
      </c>
      <c r="F203" s="2">
        <v>0.01</v>
      </c>
    </row>
    <row r="204" spans="1:6" x14ac:dyDescent="0.3">
      <c r="A204" s="1">
        <v>43299</v>
      </c>
      <c r="B204" t="s">
        <v>7</v>
      </c>
      <c r="C204" t="s">
        <v>14</v>
      </c>
      <c r="D204">
        <v>6</v>
      </c>
      <c r="E204">
        <v>150</v>
      </c>
      <c r="F204" s="2">
        <v>0.03</v>
      </c>
    </row>
    <row r="205" spans="1:6" x14ac:dyDescent="0.3">
      <c r="A205" s="1">
        <v>43299</v>
      </c>
      <c r="B205" t="s">
        <v>9</v>
      </c>
      <c r="C205" t="s">
        <v>13</v>
      </c>
      <c r="D205">
        <v>19</v>
      </c>
      <c r="E205">
        <v>16</v>
      </c>
      <c r="F205" s="2">
        <v>0.02</v>
      </c>
    </row>
    <row r="206" spans="1:6" x14ac:dyDescent="0.3">
      <c r="A206" s="1">
        <v>43299</v>
      </c>
      <c r="B206" t="s">
        <v>8</v>
      </c>
      <c r="C206" t="s">
        <v>15</v>
      </c>
      <c r="D206">
        <v>2</v>
      </c>
      <c r="E206">
        <v>40</v>
      </c>
      <c r="F206" s="2">
        <v>0.02</v>
      </c>
    </row>
    <row r="207" spans="1:6" x14ac:dyDescent="0.3">
      <c r="A207" s="1">
        <v>43300</v>
      </c>
      <c r="B207" t="s">
        <v>8</v>
      </c>
      <c r="C207" t="s">
        <v>14</v>
      </c>
      <c r="D207">
        <v>22</v>
      </c>
      <c r="E207">
        <v>40</v>
      </c>
      <c r="F207" s="2">
        <v>0.01</v>
      </c>
    </row>
    <row r="208" spans="1:6" x14ac:dyDescent="0.3">
      <c r="A208" s="1">
        <v>43300</v>
      </c>
      <c r="B208" t="s">
        <v>6</v>
      </c>
      <c r="C208" t="s">
        <v>14</v>
      </c>
      <c r="D208">
        <v>3</v>
      </c>
      <c r="E208">
        <v>230</v>
      </c>
      <c r="F208" s="2">
        <v>0.01</v>
      </c>
    </row>
    <row r="209" spans="1:6" x14ac:dyDescent="0.3">
      <c r="A209" s="1">
        <v>43300</v>
      </c>
      <c r="B209" t="s">
        <v>8</v>
      </c>
      <c r="C209" t="s">
        <v>14</v>
      </c>
      <c r="D209">
        <v>23</v>
      </c>
      <c r="E209">
        <v>40</v>
      </c>
      <c r="F209" s="2">
        <v>0.06</v>
      </c>
    </row>
    <row r="210" spans="1:6" x14ac:dyDescent="0.3">
      <c r="A210" s="1">
        <v>43300</v>
      </c>
      <c r="B210" t="s">
        <v>8</v>
      </c>
      <c r="C210" t="s">
        <v>13</v>
      </c>
      <c r="D210">
        <v>5</v>
      </c>
      <c r="E210">
        <v>40</v>
      </c>
      <c r="F210" s="2">
        <v>0.03</v>
      </c>
    </row>
    <row r="211" spans="1:6" x14ac:dyDescent="0.3">
      <c r="A211" s="1">
        <v>43300</v>
      </c>
      <c r="B211" t="s">
        <v>10</v>
      </c>
      <c r="C211" t="s">
        <v>11</v>
      </c>
      <c r="D211">
        <v>8</v>
      </c>
      <c r="E211">
        <v>80</v>
      </c>
      <c r="F211" s="2">
        <v>0.08</v>
      </c>
    </row>
    <row r="212" spans="1:6" x14ac:dyDescent="0.3">
      <c r="A212" s="1">
        <v>43300</v>
      </c>
      <c r="B212" t="s">
        <v>8</v>
      </c>
      <c r="C212" t="s">
        <v>15</v>
      </c>
      <c r="D212">
        <v>18</v>
      </c>
      <c r="E212">
        <v>40</v>
      </c>
      <c r="F212" s="2">
        <v>0.03</v>
      </c>
    </row>
    <row r="213" spans="1:6" x14ac:dyDescent="0.3">
      <c r="A213" s="1">
        <v>43300</v>
      </c>
      <c r="B213" t="s">
        <v>8</v>
      </c>
      <c r="C213" t="s">
        <v>13</v>
      </c>
      <c r="D213">
        <v>20</v>
      </c>
      <c r="E213">
        <v>40</v>
      </c>
      <c r="F213" s="2">
        <v>0.1</v>
      </c>
    </row>
    <row r="214" spans="1:6" x14ac:dyDescent="0.3">
      <c r="A214" s="1">
        <v>43300</v>
      </c>
      <c r="B214" t="s">
        <v>8</v>
      </c>
      <c r="C214" t="s">
        <v>15</v>
      </c>
      <c r="D214">
        <v>2</v>
      </c>
      <c r="E214">
        <v>40</v>
      </c>
      <c r="F214" s="2">
        <v>0.03</v>
      </c>
    </row>
    <row r="215" spans="1:6" x14ac:dyDescent="0.3">
      <c r="A215" s="1">
        <v>43300</v>
      </c>
      <c r="B215" t="s">
        <v>6</v>
      </c>
      <c r="C215" t="s">
        <v>11</v>
      </c>
      <c r="D215">
        <v>15</v>
      </c>
      <c r="E215">
        <v>230</v>
      </c>
      <c r="F215" s="2">
        <v>0.05</v>
      </c>
    </row>
    <row r="216" spans="1:6" x14ac:dyDescent="0.3">
      <c r="A216" s="1">
        <v>43300</v>
      </c>
      <c r="B216" t="s">
        <v>7</v>
      </c>
      <c r="C216" t="s">
        <v>14</v>
      </c>
      <c r="D216">
        <v>15</v>
      </c>
      <c r="E216">
        <v>150</v>
      </c>
      <c r="F216" s="2">
        <v>0.08</v>
      </c>
    </row>
    <row r="217" spans="1:6" x14ac:dyDescent="0.3">
      <c r="A217" s="1">
        <v>43300</v>
      </c>
      <c r="B217" t="s">
        <v>7</v>
      </c>
      <c r="C217" t="s">
        <v>14</v>
      </c>
      <c r="D217">
        <v>22</v>
      </c>
      <c r="E217">
        <v>150</v>
      </c>
      <c r="F217" s="2">
        <v>0.05</v>
      </c>
    </row>
    <row r="218" spans="1:6" x14ac:dyDescent="0.3">
      <c r="A218" s="1">
        <v>43300</v>
      </c>
      <c r="B218" t="s">
        <v>6</v>
      </c>
      <c r="C218" t="s">
        <v>12</v>
      </c>
      <c r="D218">
        <v>19</v>
      </c>
      <c r="E218">
        <v>230</v>
      </c>
      <c r="F218" s="2">
        <v>0.11</v>
      </c>
    </row>
    <row r="219" spans="1:6" x14ac:dyDescent="0.3">
      <c r="A219" s="1">
        <v>43300</v>
      </c>
      <c r="B219" t="s">
        <v>10</v>
      </c>
      <c r="C219" t="s">
        <v>12</v>
      </c>
      <c r="D219">
        <v>10</v>
      </c>
      <c r="E219">
        <v>80</v>
      </c>
      <c r="F219" s="2">
        <v>0.11</v>
      </c>
    </row>
    <row r="220" spans="1:6" x14ac:dyDescent="0.3">
      <c r="A220" s="1">
        <v>43300</v>
      </c>
      <c r="B220" t="s">
        <v>8</v>
      </c>
      <c r="C220" t="s">
        <v>14</v>
      </c>
      <c r="D220">
        <v>18</v>
      </c>
      <c r="E220">
        <v>40</v>
      </c>
      <c r="F220" s="2">
        <v>0.06</v>
      </c>
    </row>
    <row r="221" spans="1:6" x14ac:dyDescent="0.3">
      <c r="A221" s="1">
        <v>43300</v>
      </c>
      <c r="B221" t="s">
        <v>10</v>
      </c>
      <c r="C221" t="s">
        <v>14</v>
      </c>
      <c r="D221">
        <v>16</v>
      </c>
      <c r="E221">
        <v>80</v>
      </c>
      <c r="F221" s="2">
        <v>0.05</v>
      </c>
    </row>
    <row r="222" spans="1:6" x14ac:dyDescent="0.3">
      <c r="A222" s="1">
        <v>43300</v>
      </c>
      <c r="B222" t="s">
        <v>7</v>
      </c>
      <c r="C222" t="s">
        <v>13</v>
      </c>
      <c r="D222">
        <v>17</v>
      </c>
      <c r="E222">
        <v>150</v>
      </c>
      <c r="F222" s="2">
        <v>0.02</v>
      </c>
    </row>
    <row r="223" spans="1:6" x14ac:dyDescent="0.3">
      <c r="A223" s="1">
        <v>43301</v>
      </c>
      <c r="B223" t="s">
        <v>6</v>
      </c>
      <c r="C223" t="s">
        <v>11</v>
      </c>
      <c r="D223">
        <v>8</v>
      </c>
      <c r="E223">
        <v>230</v>
      </c>
      <c r="F223" s="2">
        <v>0.03</v>
      </c>
    </row>
    <row r="224" spans="1:6" x14ac:dyDescent="0.3">
      <c r="A224" s="1">
        <v>43301</v>
      </c>
      <c r="B224" t="s">
        <v>10</v>
      </c>
      <c r="C224" t="s">
        <v>14</v>
      </c>
      <c r="D224">
        <v>11</v>
      </c>
      <c r="E224">
        <v>80</v>
      </c>
      <c r="F224" s="2">
        <v>0.01</v>
      </c>
    </row>
    <row r="225" spans="1:6" x14ac:dyDescent="0.3">
      <c r="A225" s="1">
        <v>43301</v>
      </c>
      <c r="B225" t="s">
        <v>8</v>
      </c>
      <c r="C225" t="s">
        <v>11</v>
      </c>
      <c r="D225">
        <v>5</v>
      </c>
      <c r="E225">
        <v>40</v>
      </c>
      <c r="F225" s="2">
        <v>0.06</v>
      </c>
    </row>
    <row r="226" spans="1:6" x14ac:dyDescent="0.3">
      <c r="A226" s="1">
        <v>43301</v>
      </c>
      <c r="B226" t="s">
        <v>8</v>
      </c>
      <c r="C226" t="s">
        <v>13</v>
      </c>
      <c r="D226">
        <v>11</v>
      </c>
      <c r="E226">
        <v>40</v>
      </c>
      <c r="F226" s="2">
        <v>0.05</v>
      </c>
    </row>
    <row r="227" spans="1:6" x14ac:dyDescent="0.3">
      <c r="A227" s="1">
        <v>43301</v>
      </c>
      <c r="B227" t="s">
        <v>7</v>
      </c>
      <c r="C227" t="s">
        <v>14</v>
      </c>
      <c r="D227">
        <v>20</v>
      </c>
      <c r="E227">
        <v>150</v>
      </c>
      <c r="F227" s="2">
        <v>0.1</v>
      </c>
    </row>
    <row r="228" spans="1:6" x14ac:dyDescent="0.3">
      <c r="A228" s="1">
        <v>43301</v>
      </c>
      <c r="B228" t="s">
        <v>7</v>
      </c>
      <c r="C228" t="s">
        <v>15</v>
      </c>
      <c r="D228">
        <v>11</v>
      </c>
      <c r="E228">
        <v>150</v>
      </c>
      <c r="F228" s="2">
        <v>0.11</v>
      </c>
    </row>
    <row r="229" spans="1:6" x14ac:dyDescent="0.3">
      <c r="A229" s="1">
        <v>43301</v>
      </c>
      <c r="B229" t="s">
        <v>10</v>
      </c>
      <c r="C229" t="s">
        <v>14</v>
      </c>
      <c r="D229">
        <v>2</v>
      </c>
      <c r="E229">
        <v>80</v>
      </c>
      <c r="F229" s="2">
        <v>0.08</v>
      </c>
    </row>
    <row r="230" spans="1:6" x14ac:dyDescent="0.3">
      <c r="A230" s="1">
        <v>43301</v>
      </c>
      <c r="B230" t="s">
        <v>7</v>
      </c>
      <c r="C230" t="s">
        <v>12</v>
      </c>
      <c r="D230">
        <v>16</v>
      </c>
      <c r="E230">
        <v>150</v>
      </c>
      <c r="F230" s="2">
        <v>0.08</v>
      </c>
    </row>
    <row r="231" spans="1:6" x14ac:dyDescent="0.3">
      <c r="A231" s="1">
        <v>43301</v>
      </c>
      <c r="B231" t="s">
        <v>9</v>
      </c>
      <c r="C231" t="s">
        <v>11</v>
      </c>
      <c r="D231">
        <v>20</v>
      </c>
      <c r="E231">
        <v>16</v>
      </c>
      <c r="F231" s="2">
        <v>0.11</v>
      </c>
    </row>
    <row r="232" spans="1:6" x14ac:dyDescent="0.3">
      <c r="A232" s="1">
        <v>43301</v>
      </c>
      <c r="B232" t="s">
        <v>6</v>
      </c>
      <c r="C232" t="s">
        <v>15</v>
      </c>
      <c r="D232">
        <v>2</v>
      </c>
      <c r="E232">
        <v>230</v>
      </c>
      <c r="F232" s="2">
        <v>0.09</v>
      </c>
    </row>
    <row r="233" spans="1:6" x14ac:dyDescent="0.3">
      <c r="A233" s="1">
        <v>43301</v>
      </c>
      <c r="B233" t="s">
        <v>7</v>
      </c>
      <c r="C233" t="s">
        <v>11</v>
      </c>
      <c r="D233">
        <v>20</v>
      </c>
      <c r="E233">
        <v>150</v>
      </c>
      <c r="F233" s="2">
        <v>0.04</v>
      </c>
    </row>
    <row r="234" spans="1:6" x14ac:dyDescent="0.3">
      <c r="A234" s="1">
        <v>43301</v>
      </c>
      <c r="B234" t="s">
        <v>7</v>
      </c>
      <c r="C234" t="s">
        <v>11</v>
      </c>
      <c r="D234">
        <v>22</v>
      </c>
      <c r="E234">
        <v>150</v>
      </c>
      <c r="F234" s="2">
        <v>7.0000000000000007E-2</v>
      </c>
    </row>
    <row r="235" spans="1:6" x14ac:dyDescent="0.3">
      <c r="A235" s="1">
        <v>43301</v>
      </c>
      <c r="B235" t="s">
        <v>7</v>
      </c>
      <c r="C235" t="s">
        <v>15</v>
      </c>
      <c r="D235">
        <v>22</v>
      </c>
      <c r="E235">
        <v>150</v>
      </c>
      <c r="F235" s="2">
        <v>0.04</v>
      </c>
    </row>
    <row r="236" spans="1:6" x14ac:dyDescent="0.3">
      <c r="A236" s="1">
        <v>43301</v>
      </c>
      <c r="B236" t="s">
        <v>8</v>
      </c>
      <c r="C236" t="s">
        <v>11</v>
      </c>
      <c r="D236">
        <v>23</v>
      </c>
      <c r="E236">
        <v>40</v>
      </c>
      <c r="F236" s="2">
        <v>7.0000000000000007E-2</v>
      </c>
    </row>
    <row r="237" spans="1:6" x14ac:dyDescent="0.3">
      <c r="A237" s="1">
        <v>43302</v>
      </c>
      <c r="B237" t="s">
        <v>9</v>
      </c>
      <c r="C237" t="s">
        <v>15</v>
      </c>
      <c r="D237">
        <v>11</v>
      </c>
      <c r="E237">
        <v>16</v>
      </c>
      <c r="F237" s="2">
        <v>0.04</v>
      </c>
    </row>
    <row r="238" spans="1:6" x14ac:dyDescent="0.3">
      <c r="A238" s="1">
        <v>43302</v>
      </c>
      <c r="B238" t="s">
        <v>6</v>
      </c>
      <c r="C238" t="s">
        <v>12</v>
      </c>
      <c r="D238">
        <v>11</v>
      </c>
      <c r="E238">
        <v>230</v>
      </c>
      <c r="F238" s="2">
        <v>0.1</v>
      </c>
    </row>
    <row r="239" spans="1:6" x14ac:dyDescent="0.3">
      <c r="A239" s="1">
        <v>43302</v>
      </c>
      <c r="B239" t="s">
        <v>6</v>
      </c>
      <c r="C239" t="s">
        <v>11</v>
      </c>
      <c r="D239">
        <v>7</v>
      </c>
      <c r="E239">
        <v>230</v>
      </c>
      <c r="F239" s="2">
        <v>0.08</v>
      </c>
    </row>
    <row r="240" spans="1:6" x14ac:dyDescent="0.3">
      <c r="A240" s="1">
        <v>43302</v>
      </c>
      <c r="B240" t="s">
        <v>7</v>
      </c>
      <c r="C240" t="s">
        <v>12</v>
      </c>
      <c r="D240">
        <v>13</v>
      </c>
      <c r="E240">
        <v>150</v>
      </c>
      <c r="F240" s="2">
        <v>0.08</v>
      </c>
    </row>
    <row r="241" spans="1:6" x14ac:dyDescent="0.3">
      <c r="A241" s="1">
        <v>43302</v>
      </c>
      <c r="B241" t="s">
        <v>6</v>
      </c>
      <c r="C241" t="s">
        <v>14</v>
      </c>
      <c r="D241">
        <v>16</v>
      </c>
      <c r="E241">
        <v>230</v>
      </c>
      <c r="F241" s="2">
        <v>0.11</v>
      </c>
    </row>
    <row r="242" spans="1:6" x14ac:dyDescent="0.3">
      <c r="A242" s="1">
        <v>43302</v>
      </c>
      <c r="B242" t="s">
        <v>6</v>
      </c>
      <c r="C242" t="s">
        <v>13</v>
      </c>
      <c r="D242">
        <v>20</v>
      </c>
      <c r="E242">
        <v>230</v>
      </c>
      <c r="F242" s="2">
        <v>0.09</v>
      </c>
    </row>
    <row r="243" spans="1:6" x14ac:dyDescent="0.3">
      <c r="A243" s="1">
        <v>43302</v>
      </c>
      <c r="B243" t="s">
        <v>8</v>
      </c>
      <c r="C243" t="s">
        <v>15</v>
      </c>
      <c r="D243">
        <v>20</v>
      </c>
      <c r="E243">
        <v>40</v>
      </c>
      <c r="F243" s="2">
        <v>0.01</v>
      </c>
    </row>
    <row r="244" spans="1:6" x14ac:dyDescent="0.3">
      <c r="A244" s="1">
        <v>43302</v>
      </c>
      <c r="B244" t="s">
        <v>10</v>
      </c>
      <c r="C244" t="s">
        <v>11</v>
      </c>
      <c r="D244">
        <v>20</v>
      </c>
      <c r="E244">
        <v>80</v>
      </c>
      <c r="F244" s="2">
        <v>0.01</v>
      </c>
    </row>
    <row r="245" spans="1:6" x14ac:dyDescent="0.3">
      <c r="A245" s="1">
        <v>43302</v>
      </c>
      <c r="B245" t="s">
        <v>7</v>
      </c>
      <c r="C245" t="s">
        <v>11</v>
      </c>
      <c r="D245">
        <v>5</v>
      </c>
      <c r="E245">
        <v>150</v>
      </c>
      <c r="F245" s="2">
        <v>0.11</v>
      </c>
    </row>
    <row r="246" spans="1:6" x14ac:dyDescent="0.3">
      <c r="A246" s="1">
        <v>43303</v>
      </c>
      <c r="B246" t="s">
        <v>8</v>
      </c>
      <c r="C246" t="s">
        <v>15</v>
      </c>
      <c r="D246">
        <v>4</v>
      </c>
      <c r="E246">
        <v>40</v>
      </c>
      <c r="F246" s="2">
        <v>0.11</v>
      </c>
    </row>
    <row r="247" spans="1:6" x14ac:dyDescent="0.3">
      <c r="A247" s="1">
        <v>43303</v>
      </c>
      <c r="B247" t="s">
        <v>9</v>
      </c>
      <c r="C247" t="s">
        <v>11</v>
      </c>
      <c r="D247">
        <v>7</v>
      </c>
      <c r="E247">
        <v>16</v>
      </c>
      <c r="F247" s="2">
        <v>0.12</v>
      </c>
    </row>
    <row r="248" spans="1:6" x14ac:dyDescent="0.3">
      <c r="A248" s="1">
        <v>43303</v>
      </c>
      <c r="B248" t="s">
        <v>9</v>
      </c>
      <c r="C248" t="s">
        <v>12</v>
      </c>
      <c r="D248">
        <v>22</v>
      </c>
      <c r="E248">
        <v>16</v>
      </c>
      <c r="F248" s="2">
        <v>0.01</v>
      </c>
    </row>
    <row r="249" spans="1:6" x14ac:dyDescent="0.3">
      <c r="A249" s="1">
        <v>43303</v>
      </c>
      <c r="B249" t="s">
        <v>8</v>
      </c>
      <c r="C249" t="s">
        <v>14</v>
      </c>
      <c r="D249">
        <v>15</v>
      </c>
      <c r="E249">
        <v>40</v>
      </c>
      <c r="F249" s="2">
        <v>0.03</v>
      </c>
    </row>
    <row r="250" spans="1:6" x14ac:dyDescent="0.3">
      <c r="A250" s="1">
        <v>43303</v>
      </c>
      <c r="B250" t="s">
        <v>10</v>
      </c>
      <c r="C250" t="s">
        <v>12</v>
      </c>
      <c r="D250">
        <v>14</v>
      </c>
      <c r="E250">
        <v>80</v>
      </c>
      <c r="F250" s="2">
        <v>0.11</v>
      </c>
    </row>
    <row r="251" spans="1:6" x14ac:dyDescent="0.3">
      <c r="A251" s="1">
        <v>43303</v>
      </c>
      <c r="B251" t="s">
        <v>9</v>
      </c>
      <c r="C251" t="s">
        <v>12</v>
      </c>
      <c r="D251">
        <v>15</v>
      </c>
      <c r="E251">
        <v>16</v>
      </c>
      <c r="F251" s="2">
        <v>0.02</v>
      </c>
    </row>
    <row r="252" spans="1:6" x14ac:dyDescent="0.3">
      <c r="A252" s="1">
        <v>43304</v>
      </c>
      <c r="B252" t="s">
        <v>10</v>
      </c>
      <c r="C252" t="s">
        <v>14</v>
      </c>
      <c r="D252">
        <v>19</v>
      </c>
      <c r="E252">
        <v>80</v>
      </c>
      <c r="F252" s="2">
        <v>0.02</v>
      </c>
    </row>
    <row r="253" spans="1:6" x14ac:dyDescent="0.3">
      <c r="A253" s="1">
        <v>43304</v>
      </c>
      <c r="B253" t="s">
        <v>8</v>
      </c>
      <c r="C253" t="s">
        <v>13</v>
      </c>
      <c r="D253">
        <v>20</v>
      </c>
      <c r="E253">
        <v>40</v>
      </c>
      <c r="F253" s="2">
        <v>0.05</v>
      </c>
    </row>
    <row r="254" spans="1:6" x14ac:dyDescent="0.3">
      <c r="A254" s="1">
        <v>43304</v>
      </c>
      <c r="B254" t="s">
        <v>8</v>
      </c>
      <c r="C254" t="s">
        <v>14</v>
      </c>
      <c r="D254">
        <v>11</v>
      </c>
      <c r="E254">
        <v>40</v>
      </c>
      <c r="F254" s="2">
        <v>0.06</v>
      </c>
    </row>
    <row r="255" spans="1:6" x14ac:dyDescent="0.3">
      <c r="A255" s="1">
        <v>43304</v>
      </c>
      <c r="B255" t="s">
        <v>7</v>
      </c>
      <c r="C255" t="s">
        <v>15</v>
      </c>
      <c r="D255">
        <v>11</v>
      </c>
      <c r="E255">
        <v>150</v>
      </c>
      <c r="F255" s="2">
        <v>0.05</v>
      </c>
    </row>
    <row r="256" spans="1:6" x14ac:dyDescent="0.3">
      <c r="A256" s="1">
        <v>43304</v>
      </c>
      <c r="B256" t="s">
        <v>10</v>
      </c>
      <c r="C256" t="s">
        <v>14</v>
      </c>
      <c r="D256">
        <v>23</v>
      </c>
      <c r="E256">
        <v>80</v>
      </c>
      <c r="F256" s="2">
        <v>0.11</v>
      </c>
    </row>
    <row r="257" spans="1:6" x14ac:dyDescent="0.3">
      <c r="A257" s="1">
        <v>43304</v>
      </c>
      <c r="B257" t="s">
        <v>10</v>
      </c>
      <c r="C257" t="s">
        <v>11</v>
      </c>
      <c r="D257">
        <v>8</v>
      </c>
      <c r="E257">
        <v>80</v>
      </c>
      <c r="F257" s="2">
        <v>0.09</v>
      </c>
    </row>
    <row r="258" spans="1:6" x14ac:dyDescent="0.3">
      <c r="A258" s="1">
        <v>43304</v>
      </c>
      <c r="B258" t="s">
        <v>8</v>
      </c>
      <c r="C258" t="s">
        <v>14</v>
      </c>
      <c r="D258">
        <v>9</v>
      </c>
      <c r="E258">
        <v>40</v>
      </c>
      <c r="F258" s="2">
        <v>0.06</v>
      </c>
    </row>
    <row r="259" spans="1:6" x14ac:dyDescent="0.3">
      <c r="A259" s="1">
        <v>43304</v>
      </c>
      <c r="B259" t="s">
        <v>6</v>
      </c>
      <c r="C259" t="s">
        <v>13</v>
      </c>
      <c r="D259">
        <v>13</v>
      </c>
      <c r="E259">
        <v>230</v>
      </c>
      <c r="F259" s="2">
        <v>0.06</v>
      </c>
    </row>
    <row r="260" spans="1:6" x14ac:dyDescent="0.3">
      <c r="A260" s="1">
        <v>43304</v>
      </c>
      <c r="B260" t="s">
        <v>8</v>
      </c>
      <c r="C260" t="s">
        <v>14</v>
      </c>
      <c r="D260">
        <v>22</v>
      </c>
      <c r="E260">
        <v>40</v>
      </c>
      <c r="F260" s="2">
        <v>0.01</v>
      </c>
    </row>
    <row r="261" spans="1:6" x14ac:dyDescent="0.3">
      <c r="A261" s="1">
        <v>43304</v>
      </c>
      <c r="B261" t="s">
        <v>9</v>
      </c>
      <c r="C261" t="s">
        <v>13</v>
      </c>
      <c r="D261">
        <v>14</v>
      </c>
      <c r="E261">
        <v>16</v>
      </c>
      <c r="F261" s="2">
        <v>0.06</v>
      </c>
    </row>
    <row r="262" spans="1:6" x14ac:dyDescent="0.3">
      <c r="A262" s="1">
        <v>43305</v>
      </c>
      <c r="B262" t="s">
        <v>10</v>
      </c>
      <c r="C262" t="s">
        <v>12</v>
      </c>
      <c r="D262">
        <v>5</v>
      </c>
      <c r="E262">
        <v>80</v>
      </c>
      <c r="F262" s="2">
        <v>0.04</v>
      </c>
    </row>
    <row r="263" spans="1:6" x14ac:dyDescent="0.3">
      <c r="A263" s="1">
        <v>43305</v>
      </c>
      <c r="B263" t="s">
        <v>7</v>
      </c>
      <c r="C263" t="s">
        <v>13</v>
      </c>
      <c r="D263">
        <v>18</v>
      </c>
      <c r="E263">
        <v>150</v>
      </c>
      <c r="F263" s="2">
        <v>0.12</v>
      </c>
    </row>
    <row r="264" spans="1:6" x14ac:dyDescent="0.3">
      <c r="A264" s="1">
        <v>43305</v>
      </c>
      <c r="B264" t="s">
        <v>6</v>
      </c>
      <c r="C264" t="s">
        <v>15</v>
      </c>
      <c r="D264">
        <v>14</v>
      </c>
      <c r="E264">
        <v>230</v>
      </c>
      <c r="F264" s="2">
        <v>0.12</v>
      </c>
    </row>
    <row r="265" spans="1:6" x14ac:dyDescent="0.3">
      <c r="A265" s="1">
        <v>43305</v>
      </c>
      <c r="B265" t="s">
        <v>6</v>
      </c>
      <c r="C265" t="s">
        <v>13</v>
      </c>
      <c r="D265">
        <v>20</v>
      </c>
      <c r="E265">
        <v>230</v>
      </c>
      <c r="F265" s="2">
        <v>0.11</v>
      </c>
    </row>
    <row r="266" spans="1:6" x14ac:dyDescent="0.3">
      <c r="A266" s="1">
        <v>43305</v>
      </c>
      <c r="B266" t="s">
        <v>9</v>
      </c>
      <c r="C266" t="s">
        <v>13</v>
      </c>
      <c r="D266">
        <v>3</v>
      </c>
      <c r="E266">
        <v>16</v>
      </c>
      <c r="F266" s="2">
        <v>0.03</v>
      </c>
    </row>
    <row r="267" spans="1:6" x14ac:dyDescent="0.3">
      <c r="A267" s="1">
        <v>43305</v>
      </c>
      <c r="B267" t="s">
        <v>6</v>
      </c>
      <c r="C267" t="s">
        <v>15</v>
      </c>
      <c r="D267">
        <v>20</v>
      </c>
      <c r="E267">
        <v>230</v>
      </c>
      <c r="F267" s="2">
        <v>0.06</v>
      </c>
    </row>
    <row r="268" spans="1:6" x14ac:dyDescent="0.3">
      <c r="A268" s="1">
        <v>43305</v>
      </c>
      <c r="B268" t="s">
        <v>10</v>
      </c>
      <c r="C268" t="s">
        <v>13</v>
      </c>
      <c r="D268">
        <v>9</v>
      </c>
      <c r="E268">
        <v>80</v>
      </c>
      <c r="F268" s="2">
        <v>0.02</v>
      </c>
    </row>
    <row r="269" spans="1:6" x14ac:dyDescent="0.3">
      <c r="A269" s="1">
        <v>43305</v>
      </c>
      <c r="B269" t="s">
        <v>9</v>
      </c>
      <c r="C269" t="s">
        <v>14</v>
      </c>
      <c r="D269">
        <v>22</v>
      </c>
      <c r="E269">
        <v>16</v>
      </c>
      <c r="F269" s="2">
        <v>0.03</v>
      </c>
    </row>
    <row r="270" spans="1:6" x14ac:dyDescent="0.3">
      <c r="A270" s="1">
        <v>43305</v>
      </c>
      <c r="B270" t="s">
        <v>10</v>
      </c>
      <c r="C270" t="s">
        <v>12</v>
      </c>
      <c r="D270">
        <v>15</v>
      </c>
      <c r="E270">
        <v>80</v>
      </c>
      <c r="F270" s="2">
        <v>0.12</v>
      </c>
    </row>
    <row r="271" spans="1:6" x14ac:dyDescent="0.3">
      <c r="A271" s="1">
        <v>43305</v>
      </c>
      <c r="B271" t="s">
        <v>7</v>
      </c>
      <c r="C271" t="s">
        <v>11</v>
      </c>
      <c r="D271">
        <v>11</v>
      </c>
      <c r="E271">
        <v>150</v>
      </c>
      <c r="F271" s="2">
        <v>0.05</v>
      </c>
    </row>
    <row r="272" spans="1:6" x14ac:dyDescent="0.3">
      <c r="A272" s="1">
        <v>43305</v>
      </c>
      <c r="B272" t="s">
        <v>6</v>
      </c>
      <c r="C272" t="s">
        <v>14</v>
      </c>
      <c r="D272">
        <v>11</v>
      </c>
      <c r="E272">
        <v>230</v>
      </c>
      <c r="F272" s="2">
        <v>0.12</v>
      </c>
    </row>
    <row r="273" spans="1:6" x14ac:dyDescent="0.3">
      <c r="A273" s="1">
        <v>43305</v>
      </c>
      <c r="B273" t="s">
        <v>7</v>
      </c>
      <c r="C273" t="s">
        <v>11</v>
      </c>
      <c r="D273">
        <v>20</v>
      </c>
      <c r="E273">
        <v>150</v>
      </c>
      <c r="F273" s="2">
        <v>0.01</v>
      </c>
    </row>
    <row r="274" spans="1:6" x14ac:dyDescent="0.3">
      <c r="A274" s="1">
        <v>43305</v>
      </c>
      <c r="B274" t="s">
        <v>8</v>
      </c>
      <c r="C274" t="s">
        <v>15</v>
      </c>
      <c r="D274">
        <v>11</v>
      </c>
      <c r="E274">
        <v>40</v>
      </c>
      <c r="F274" s="2">
        <v>0.12</v>
      </c>
    </row>
    <row r="275" spans="1:6" x14ac:dyDescent="0.3">
      <c r="A275" s="1">
        <v>43306</v>
      </c>
      <c r="B275" t="s">
        <v>6</v>
      </c>
      <c r="C275" t="s">
        <v>15</v>
      </c>
      <c r="D275">
        <v>12</v>
      </c>
      <c r="E275">
        <v>230</v>
      </c>
      <c r="F275" s="2">
        <v>0.06</v>
      </c>
    </row>
    <row r="276" spans="1:6" x14ac:dyDescent="0.3">
      <c r="A276" s="1">
        <v>43306</v>
      </c>
      <c r="B276" t="s">
        <v>8</v>
      </c>
      <c r="C276" t="s">
        <v>11</v>
      </c>
      <c r="D276">
        <v>15</v>
      </c>
      <c r="E276">
        <v>40</v>
      </c>
      <c r="F276" s="2">
        <v>0.06</v>
      </c>
    </row>
    <row r="277" spans="1:6" x14ac:dyDescent="0.3">
      <c r="A277" s="1">
        <v>43306</v>
      </c>
      <c r="B277" t="s">
        <v>8</v>
      </c>
      <c r="C277" t="s">
        <v>14</v>
      </c>
      <c r="D277">
        <v>13</v>
      </c>
      <c r="E277">
        <v>40</v>
      </c>
      <c r="F277" s="2">
        <v>0.09</v>
      </c>
    </row>
    <row r="278" spans="1:6" x14ac:dyDescent="0.3">
      <c r="A278" s="1">
        <v>43306</v>
      </c>
      <c r="B278" t="s">
        <v>8</v>
      </c>
      <c r="C278" t="s">
        <v>13</v>
      </c>
      <c r="D278">
        <v>4</v>
      </c>
      <c r="E278">
        <v>40</v>
      </c>
      <c r="F278" s="2">
        <v>0.09</v>
      </c>
    </row>
    <row r="279" spans="1:6" x14ac:dyDescent="0.3">
      <c r="A279" s="1">
        <v>43306</v>
      </c>
      <c r="B279" t="s">
        <v>6</v>
      </c>
      <c r="C279" t="s">
        <v>14</v>
      </c>
      <c r="D279">
        <v>18</v>
      </c>
      <c r="E279">
        <v>230</v>
      </c>
      <c r="F279" s="2">
        <v>0.01</v>
      </c>
    </row>
    <row r="280" spans="1:6" x14ac:dyDescent="0.3">
      <c r="A280" s="1">
        <v>43306</v>
      </c>
      <c r="B280" t="s">
        <v>9</v>
      </c>
      <c r="C280" t="s">
        <v>11</v>
      </c>
      <c r="D280">
        <v>7</v>
      </c>
      <c r="E280">
        <v>16</v>
      </c>
      <c r="F280" s="2">
        <v>0.02</v>
      </c>
    </row>
    <row r="281" spans="1:6" x14ac:dyDescent="0.3">
      <c r="A281" s="1">
        <v>43306</v>
      </c>
      <c r="B281" t="s">
        <v>9</v>
      </c>
      <c r="C281" t="s">
        <v>15</v>
      </c>
      <c r="D281">
        <v>6</v>
      </c>
      <c r="E281">
        <v>16</v>
      </c>
      <c r="F281" s="2">
        <v>7.0000000000000007E-2</v>
      </c>
    </row>
    <row r="282" spans="1:6" x14ac:dyDescent="0.3">
      <c r="A282" s="1">
        <v>43306</v>
      </c>
      <c r="B282" t="s">
        <v>6</v>
      </c>
      <c r="C282" t="s">
        <v>14</v>
      </c>
      <c r="D282">
        <v>8</v>
      </c>
      <c r="E282">
        <v>230</v>
      </c>
      <c r="F282" s="2">
        <v>0.05</v>
      </c>
    </row>
    <row r="283" spans="1:6" x14ac:dyDescent="0.3">
      <c r="A283" s="1">
        <v>43306</v>
      </c>
      <c r="B283" t="s">
        <v>9</v>
      </c>
      <c r="C283" t="s">
        <v>15</v>
      </c>
      <c r="D283">
        <v>12</v>
      </c>
      <c r="E283">
        <v>16</v>
      </c>
      <c r="F283" s="2">
        <v>0.11</v>
      </c>
    </row>
    <row r="284" spans="1:6" x14ac:dyDescent="0.3">
      <c r="A284" s="1">
        <v>43306</v>
      </c>
      <c r="B284" t="s">
        <v>6</v>
      </c>
      <c r="C284" t="s">
        <v>11</v>
      </c>
      <c r="D284">
        <v>11</v>
      </c>
      <c r="E284">
        <v>230</v>
      </c>
      <c r="F284" s="2">
        <v>0.02</v>
      </c>
    </row>
    <row r="285" spans="1:6" x14ac:dyDescent="0.3">
      <c r="A285" s="1">
        <v>43306</v>
      </c>
      <c r="B285" t="s">
        <v>9</v>
      </c>
      <c r="C285" t="s">
        <v>15</v>
      </c>
      <c r="D285">
        <v>3</v>
      </c>
      <c r="E285">
        <v>16</v>
      </c>
      <c r="F285" s="2">
        <v>0.05</v>
      </c>
    </row>
    <row r="286" spans="1:6" x14ac:dyDescent="0.3">
      <c r="A286" s="1">
        <v>43307</v>
      </c>
      <c r="B286" t="s">
        <v>7</v>
      </c>
      <c r="C286" t="s">
        <v>12</v>
      </c>
      <c r="D286">
        <v>16</v>
      </c>
      <c r="E286">
        <v>150</v>
      </c>
      <c r="F286" s="2">
        <v>0.05</v>
      </c>
    </row>
    <row r="287" spans="1:6" x14ac:dyDescent="0.3">
      <c r="A287" s="1">
        <v>43307</v>
      </c>
      <c r="B287" t="s">
        <v>6</v>
      </c>
      <c r="C287" t="s">
        <v>14</v>
      </c>
      <c r="D287">
        <v>8</v>
      </c>
      <c r="E287">
        <v>230</v>
      </c>
      <c r="F287" s="2">
        <v>0.01</v>
      </c>
    </row>
    <row r="288" spans="1:6" x14ac:dyDescent="0.3">
      <c r="A288" s="1">
        <v>43307</v>
      </c>
      <c r="B288" t="s">
        <v>10</v>
      </c>
      <c r="C288" t="s">
        <v>15</v>
      </c>
      <c r="D288">
        <v>16</v>
      </c>
      <c r="E288">
        <v>80</v>
      </c>
      <c r="F288" s="2">
        <v>0.04</v>
      </c>
    </row>
    <row r="289" spans="1:6" x14ac:dyDescent="0.3">
      <c r="A289" s="1">
        <v>43307</v>
      </c>
      <c r="B289" t="s">
        <v>9</v>
      </c>
      <c r="C289" t="s">
        <v>14</v>
      </c>
      <c r="D289">
        <v>18</v>
      </c>
      <c r="E289">
        <v>16</v>
      </c>
      <c r="F289" s="2">
        <v>0.04</v>
      </c>
    </row>
    <row r="290" spans="1:6" x14ac:dyDescent="0.3">
      <c r="A290" s="1">
        <v>43307</v>
      </c>
      <c r="B290" t="s">
        <v>8</v>
      </c>
      <c r="C290" t="s">
        <v>13</v>
      </c>
      <c r="D290">
        <v>14</v>
      </c>
      <c r="E290">
        <v>40</v>
      </c>
      <c r="F290" s="2">
        <v>0.11</v>
      </c>
    </row>
    <row r="291" spans="1:6" x14ac:dyDescent="0.3">
      <c r="A291" s="1">
        <v>43307</v>
      </c>
      <c r="B291" t="s">
        <v>9</v>
      </c>
      <c r="C291" t="s">
        <v>12</v>
      </c>
      <c r="D291">
        <v>21</v>
      </c>
      <c r="E291">
        <v>16</v>
      </c>
      <c r="F291" s="2">
        <v>0.02</v>
      </c>
    </row>
    <row r="292" spans="1:6" x14ac:dyDescent="0.3">
      <c r="A292" s="1">
        <v>43307</v>
      </c>
      <c r="B292" t="s">
        <v>9</v>
      </c>
      <c r="C292" t="s">
        <v>12</v>
      </c>
      <c r="D292">
        <v>7</v>
      </c>
      <c r="E292">
        <v>16</v>
      </c>
      <c r="F292" s="2">
        <v>0.08</v>
      </c>
    </row>
    <row r="293" spans="1:6" x14ac:dyDescent="0.3">
      <c r="A293" s="1">
        <v>43307</v>
      </c>
      <c r="B293" t="s">
        <v>10</v>
      </c>
      <c r="C293" t="s">
        <v>15</v>
      </c>
      <c r="D293">
        <v>7</v>
      </c>
      <c r="E293">
        <v>80</v>
      </c>
      <c r="F293" s="2">
        <v>0.05</v>
      </c>
    </row>
    <row r="294" spans="1:6" x14ac:dyDescent="0.3">
      <c r="A294" s="1">
        <v>43307</v>
      </c>
      <c r="B294" t="s">
        <v>8</v>
      </c>
      <c r="C294" t="s">
        <v>13</v>
      </c>
      <c r="D294">
        <v>16</v>
      </c>
      <c r="E294">
        <v>40</v>
      </c>
      <c r="F294" s="2">
        <v>0.09</v>
      </c>
    </row>
    <row r="295" spans="1:6" x14ac:dyDescent="0.3">
      <c r="A295" s="1">
        <v>43307</v>
      </c>
      <c r="B295" t="s">
        <v>6</v>
      </c>
      <c r="C295" t="s">
        <v>13</v>
      </c>
      <c r="D295">
        <v>22</v>
      </c>
      <c r="E295">
        <v>230</v>
      </c>
      <c r="F295" s="2">
        <v>0.1</v>
      </c>
    </row>
    <row r="296" spans="1:6" x14ac:dyDescent="0.3">
      <c r="A296" s="1">
        <v>43307</v>
      </c>
      <c r="B296" t="s">
        <v>8</v>
      </c>
      <c r="C296" t="s">
        <v>12</v>
      </c>
      <c r="D296">
        <v>4</v>
      </c>
      <c r="E296">
        <v>40</v>
      </c>
      <c r="F296" s="2">
        <v>0.03</v>
      </c>
    </row>
    <row r="297" spans="1:6" x14ac:dyDescent="0.3">
      <c r="A297" s="1">
        <v>43307</v>
      </c>
      <c r="B297" t="s">
        <v>6</v>
      </c>
      <c r="C297" t="s">
        <v>13</v>
      </c>
      <c r="D297">
        <v>3</v>
      </c>
      <c r="E297">
        <v>230</v>
      </c>
      <c r="F297" s="2">
        <v>0.1</v>
      </c>
    </row>
    <row r="298" spans="1:6" x14ac:dyDescent="0.3">
      <c r="A298" s="1">
        <v>43307</v>
      </c>
      <c r="B298" t="s">
        <v>10</v>
      </c>
      <c r="C298" t="s">
        <v>12</v>
      </c>
      <c r="D298">
        <v>14</v>
      </c>
      <c r="E298">
        <v>80</v>
      </c>
      <c r="F298" s="2">
        <v>0.11</v>
      </c>
    </row>
    <row r="299" spans="1:6" x14ac:dyDescent="0.3">
      <c r="A299" s="1">
        <v>43308</v>
      </c>
      <c r="B299" t="s">
        <v>8</v>
      </c>
      <c r="C299" t="s">
        <v>13</v>
      </c>
      <c r="D299">
        <v>21</v>
      </c>
      <c r="E299">
        <v>40</v>
      </c>
      <c r="F299" s="2">
        <v>0.01</v>
      </c>
    </row>
    <row r="300" spans="1:6" x14ac:dyDescent="0.3">
      <c r="A300" s="1">
        <v>43308</v>
      </c>
      <c r="B300" t="s">
        <v>9</v>
      </c>
      <c r="C300" t="s">
        <v>12</v>
      </c>
      <c r="D300">
        <v>20</v>
      </c>
      <c r="E300">
        <v>16</v>
      </c>
      <c r="F300" s="2">
        <v>0.06</v>
      </c>
    </row>
    <row r="301" spans="1:6" x14ac:dyDescent="0.3">
      <c r="A301" s="1">
        <v>43308</v>
      </c>
      <c r="B301" t="s">
        <v>10</v>
      </c>
      <c r="C301" t="s">
        <v>13</v>
      </c>
      <c r="D301">
        <v>22</v>
      </c>
      <c r="E301">
        <v>80</v>
      </c>
      <c r="F301" s="2">
        <v>0.11</v>
      </c>
    </row>
    <row r="302" spans="1:6" x14ac:dyDescent="0.3">
      <c r="A302" s="1">
        <v>43308</v>
      </c>
      <c r="B302" t="s">
        <v>8</v>
      </c>
      <c r="C302" t="s">
        <v>11</v>
      </c>
      <c r="D302">
        <v>7</v>
      </c>
      <c r="E302">
        <v>40</v>
      </c>
      <c r="F302" s="2">
        <v>0.1</v>
      </c>
    </row>
    <row r="303" spans="1:6" x14ac:dyDescent="0.3">
      <c r="A303" s="1">
        <v>43308</v>
      </c>
      <c r="B303" t="s">
        <v>7</v>
      </c>
      <c r="C303" t="s">
        <v>12</v>
      </c>
      <c r="D303">
        <v>16</v>
      </c>
      <c r="E303">
        <v>150</v>
      </c>
      <c r="F303" s="2">
        <v>0.05</v>
      </c>
    </row>
    <row r="304" spans="1:6" x14ac:dyDescent="0.3">
      <c r="A304" s="1">
        <v>43308</v>
      </c>
      <c r="B304" t="s">
        <v>6</v>
      </c>
      <c r="C304" t="s">
        <v>12</v>
      </c>
      <c r="D304">
        <v>7</v>
      </c>
      <c r="E304">
        <v>230</v>
      </c>
      <c r="F304" s="2">
        <v>0.05</v>
      </c>
    </row>
    <row r="305" spans="1:6" x14ac:dyDescent="0.3">
      <c r="A305" s="1">
        <v>43308</v>
      </c>
      <c r="B305" t="s">
        <v>7</v>
      </c>
      <c r="C305" t="s">
        <v>11</v>
      </c>
      <c r="D305">
        <v>20</v>
      </c>
      <c r="E305">
        <v>150</v>
      </c>
      <c r="F305" s="2">
        <v>0.03</v>
      </c>
    </row>
    <row r="306" spans="1:6" x14ac:dyDescent="0.3">
      <c r="A306" s="1">
        <v>43308</v>
      </c>
      <c r="B306" t="s">
        <v>7</v>
      </c>
      <c r="C306" t="s">
        <v>12</v>
      </c>
      <c r="D306">
        <v>16</v>
      </c>
      <c r="E306">
        <v>150</v>
      </c>
      <c r="F306" s="2">
        <v>0.03</v>
      </c>
    </row>
    <row r="307" spans="1:6" x14ac:dyDescent="0.3">
      <c r="A307" s="1">
        <v>43308</v>
      </c>
      <c r="B307" t="s">
        <v>9</v>
      </c>
      <c r="C307" t="s">
        <v>14</v>
      </c>
      <c r="D307">
        <v>10</v>
      </c>
      <c r="E307">
        <v>16</v>
      </c>
      <c r="F307" s="2">
        <v>0.04</v>
      </c>
    </row>
    <row r="308" spans="1:6" x14ac:dyDescent="0.3">
      <c r="A308" s="1">
        <v>43308</v>
      </c>
      <c r="B308" t="s">
        <v>10</v>
      </c>
      <c r="C308" t="s">
        <v>13</v>
      </c>
      <c r="D308">
        <v>6</v>
      </c>
      <c r="E308">
        <v>80</v>
      </c>
      <c r="F308" s="2">
        <v>0.09</v>
      </c>
    </row>
    <row r="309" spans="1:6" x14ac:dyDescent="0.3">
      <c r="A309" s="1">
        <v>43308</v>
      </c>
      <c r="B309" t="s">
        <v>10</v>
      </c>
      <c r="C309" t="s">
        <v>11</v>
      </c>
      <c r="D309">
        <v>17</v>
      </c>
      <c r="E309">
        <v>80</v>
      </c>
      <c r="F309" s="2">
        <v>0.09</v>
      </c>
    </row>
    <row r="310" spans="1:6" x14ac:dyDescent="0.3">
      <c r="A310" s="1">
        <v>43308</v>
      </c>
      <c r="B310" t="s">
        <v>8</v>
      </c>
      <c r="C310" t="s">
        <v>11</v>
      </c>
      <c r="D310">
        <v>19</v>
      </c>
      <c r="E310">
        <v>40</v>
      </c>
      <c r="F310" s="2">
        <v>0.04</v>
      </c>
    </row>
    <row r="311" spans="1:6" x14ac:dyDescent="0.3">
      <c r="A311" s="1">
        <v>43308</v>
      </c>
      <c r="B311" t="s">
        <v>8</v>
      </c>
      <c r="C311" t="s">
        <v>13</v>
      </c>
      <c r="D311">
        <v>16</v>
      </c>
      <c r="E311">
        <v>40</v>
      </c>
      <c r="F311" s="2">
        <v>0.09</v>
      </c>
    </row>
    <row r="312" spans="1:6" x14ac:dyDescent="0.3">
      <c r="A312" s="1">
        <v>43308</v>
      </c>
      <c r="B312" t="s">
        <v>9</v>
      </c>
      <c r="C312" t="s">
        <v>11</v>
      </c>
      <c r="D312">
        <v>4</v>
      </c>
      <c r="E312">
        <v>16</v>
      </c>
      <c r="F312" s="2">
        <v>0.12</v>
      </c>
    </row>
    <row r="313" spans="1:6" x14ac:dyDescent="0.3">
      <c r="A313" s="1">
        <v>43308</v>
      </c>
      <c r="B313" t="s">
        <v>7</v>
      </c>
      <c r="C313" t="s">
        <v>14</v>
      </c>
      <c r="D313">
        <v>9</v>
      </c>
      <c r="E313">
        <v>150</v>
      </c>
      <c r="F313" s="2">
        <v>0.02</v>
      </c>
    </row>
    <row r="314" spans="1:6" x14ac:dyDescent="0.3">
      <c r="A314" s="1">
        <v>43308</v>
      </c>
      <c r="B314" t="s">
        <v>9</v>
      </c>
      <c r="C314" t="s">
        <v>11</v>
      </c>
      <c r="D314">
        <v>11</v>
      </c>
      <c r="E314">
        <v>16</v>
      </c>
      <c r="F314" s="2">
        <v>0.09</v>
      </c>
    </row>
    <row r="315" spans="1:6" x14ac:dyDescent="0.3">
      <c r="A315" s="1">
        <v>43308</v>
      </c>
      <c r="B315" t="s">
        <v>10</v>
      </c>
      <c r="C315" t="s">
        <v>12</v>
      </c>
      <c r="D315">
        <v>17</v>
      </c>
      <c r="E315">
        <v>80</v>
      </c>
      <c r="F315" s="2">
        <v>0.03</v>
      </c>
    </row>
    <row r="316" spans="1:6" x14ac:dyDescent="0.3">
      <c r="A316" s="1">
        <v>43309</v>
      </c>
      <c r="B316" t="s">
        <v>7</v>
      </c>
      <c r="C316" t="s">
        <v>11</v>
      </c>
      <c r="D316">
        <v>3</v>
      </c>
      <c r="E316">
        <v>150</v>
      </c>
      <c r="F316" s="2">
        <v>0.03</v>
      </c>
    </row>
    <row r="317" spans="1:6" x14ac:dyDescent="0.3">
      <c r="A317" s="1">
        <v>43309</v>
      </c>
      <c r="B317" t="s">
        <v>6</v>
      </c>
      <c r="C317" t="s">
        <v>14</v>
      </c>
      <c r="D317">
        <v>2</v>
      </c>
      <c r="E317">
        <v>230</v>
      </c>
      <c r="F317" s="2">
        <v>0.08</v>
      </c>
    </row>
    <row r="318" spans="1:6" x14ac:dyDescent="0.3">
      <c r="A318" s="1">
        <v>43309</v>
      </c>
      <c r="B318" t="s">
        <v>6</v>
      </c>
      <c r="C318" t="s">
        <v>14</v>
      </c>
      <c r="D318">
        <v>17</v>
      </c>
      <c r="E318">
        <v>230</v>
      </c>
      <c r="F318" s="2">
        <v>0.12</v>
      </c>
    </row>
    <row r="319" spans="1:6" x14ac:dyDescent="0.3">
      <c r="A319" s="1">
        <v>43309</v>
      </c>
      <c r="B319" t="s">
        <v>7</v>
      </c>
      <c r="C319" t="s">
        <v>12</v>
      </c>
      <c r="D319">
        <v>2</v>
      </c>
      <c r="E319">
        <v>150</v>
      </c>
      <c r="F319" s="2">
        <v>0.09</v>
      </c>
    </row>
    <row r="320" spans="1:6" x14ac:dyDescent="0.3">
      <c r="A320" s="1">
        <v>43309</v>
      </c>
      <c r="B320" t="s">
        <v>8</v>
      </c>
      <c r="C320" t="s">
        <v>14</v>
      </c>
      <c r="D320">
        <v>18</v>
      </c>
      <c r="E320">
        <v>40</v>
      </c>
      <c r="F320" s="2">
        <v>0.06</v>
      </c>
    </row>
    <row r="321" spans="1:6" x14ac:dyDescent="0.3">
      <c r="A321" s="1">
        <v>43309</v>
      </c>
      <c r="B321" t="s">
        <v>7</v>
      </c>
      <c r="C321" t="s">
        <v>15</v>
      </c>
      <c r="D321">
        <v>18</v>
      </c>
      <c r="E321">
        <v>150</v>
      </c>
      <c r="F321" s="2">
        <v>0.06</v>
      </c>
    </row>
    <row r="322" spans="1:6" x14ac:dyDescent="0.3">
      <c r="A322" s="1">
        <v>43309</v>
      </c>
      <c r="B322" t="s">
        <v>8</v>
      </c>
      <c r="C322" t="s">
        <v>12</v>
      </c>
      <c r="D322">
        <v>12</v>
      </c>
      <c r="E322">
        <v>40</v>
      </c>
      <c r="F322" s="2">
        <v>0.1</v>
      </c>
    </row>
    <row r="323" spans="1:6" x14ac:dyDescent="0.3">
      <c r="A323" s="1">
        <v>43309</v>
      </c>
      <c r="B323" t="s">
        <v>10</v>
      </c>
      <c r="C323" t="s">
        <v>11</v>
      </c>
      <c r="D323">
        <v>21</v>
      </c>
      <c r="E323">
        <v>80</v>
      </c>
      <c r="F323" s="2">
        <v>0.04</v>
      </c>
    </row>
    <row r="324" spans="1:6" x14ac:dyDescent="0.3">
      <c r="A324" s="1">
        <v>43309</v>
      </c>
      <c r="B324" t="s">
        <v>8</v>
      </c>
      <c r="C324" t="s">
        <v>13</v>
      </c>
      <c r="D324">
        <v>3</v>
      </c>
      <c r="E324">
        <v>40</v>
      </c>
      <c r="F324" s="2">
        <v>0.03</v>
      </c>
    </row>
    <row r="325" spans="1:6" x14ac:dyDescent="0.3">
      <c r="A325" s="1">
        <v>43309</v>
      </c>
      <c r="B325" t="s">
        <v>10</v>
      </c>
      <c r="C325" t="s">
        <v>13</v>
      </c>
      <c r="D325">
        <v>22</v>
      </c>
      <c r="E325">
        <v>80</v>
      </c>
      <c r="F325" s="2">
        <v>0.1</v>
      </c>
    </row>
    <row r="326" spans="1:6" x14ac:dyDescent="0.3">
      <c r="A326" s="1">
        <v>43309</v>
      </c>
      <c r="B326" t="s">
        <v>8</v>
      </c>
      <c r="C326" t="s">
        <v>13</v>
      </c>
      <c r="D326">
        <v>16</v>
      </c>
      <c r="E326">
        <v>40</v>
      </c>
      <c r="F326" s="2">
        <v>0.11</v>
      </c>
    </row>
    <row r="327" spans="1:6" x14ac:dyDescent="0.3">
      <c r="A327" s="1">
        <v>43309</v>
      </c>
      <c r="B327" t="s">
        <v>9</v>
      </c>
      <c r="C327" t="s">
        <v>11</v>
      </c>
      <c r="D327">
        <v>11</v>
      </c>
      <c r="E327">
        <v>16</v>
      </c>
      <c r="F327" s="2">
        <v>0.09</v>
      </c>
    </row>
    <row r="328" spans="1:6" x14ac:dyDescent="0.3">
      <c r="A328" s="1">
        <v>43310</v>
      </c>
      <c r="B328" t="s">
        <v>10</v>
      </c>
      <c r="C328" t="s">
        <v>15</v>
      </c>
      <c r="D328">
        <v>10</v>
      </c>
      <c r="E328">
        <v>80</v>
      </c>
      <c r="F328" s="2">
        <v>0.08</v>
      </c>
    </row>
    <row r="329" spans="1:6" x14ac:dyDescent="0.3">
      <c r="A329" s="1">
        <v>43310</v>
      </c>
      <c r="B329" t="s">
        <v>9</v>
      </c>
      <c r="C329" t="s">
        <v>15</v>
      </c>
      <c r="D329">
        <v>12</v>
      </c>
      <c r="E329">
        <v>16</v>
      </c>
      <c r="F329" s="2">
        <v>0.03</v>
      </c>
    </row>
    <row r="330" spans="1:6" x14ac:dyDescent="0.3">
      <c r="A330" s="1">
        <v>43310</v>
      </c>
      <c r="B330" t="s">
        <v>7</v>
      </c>
      <c r="C330" t="s">
        <v>11</v>
      </c>
      <c r="D330">
        <v>8</v>
      </c>
      <c r="E330">
        <v>150</v>
      </c>
      <c r="F330" s="2">
        <v>0.09</v>
      </c>
    </row>
    <row r="331" spans="1:6" x14ac:dyDescent="0.3">
      <c r="A331" s="1">
        <v>43310</v>
      </c>
      <c r="B331" t="s">
        <v>8</v>
      </c>
      <c r="C331" t="s">
        <v>13</v>
      </c>
      <c r="D331">
        <v>10</v>
      </c>
      <c r="E331">
        <v>40</v>
      </c>
      <c r="F331" s="2">
        <v>0.03</v>
      </c>
    </row>
    <row r="332" spans="1:6" x14ac:dyDescent="0.3">
      <c r="A332" s="1">
        <v>43310</v>
      </c>
      <c r="B332" t="s">
        <v>7</v>
      </c>
      <c r="C332" t="s">
        <v>11</v>
      </c>
      <c r="D332">
        <v>7</v>
      </c>
      <c r="E332">
        <v>150</v>
      </c>
      <c r="F332" s="2">
        <v>0.02</v>
      </c>
    </row>
    <row r="333" spans="1:6" x14ac:dyDescent="0.3">
      <c r="A333" s="1">
        <v>43310</v>
      </c>
      <c r="B333" t="s">
        <v>9</v>
      </c>
      <c r="C333" t="s">
        <v>15</v>
      </c>
      <c r="D333">
        <v>6</v>
      </c>
      <c r="E333">
        <v>16</v>
      </c>
      <c r="F333" s="2">
        <v>0.01</v>
      </c>
    </row>
    <row r="334" spans="1:6" x14ac:dyDescent="0.3">
      <c r="A334" s="1">
        <v>43310</v>
      </c>
      <c r="B334" t="s">
        <v>10</v>
      </c>
      <c r="C334" t="s">
        <v>14</v>
      </c>
      <c r="D334">
        <v>15</v>
      </c>
      <c r="E334">
        <v>80</v>
      </c>
      <c r="F334" s="2">
        <v>0.08</v>
      </c>
    </row>
    <row r="335" spans="1:6" x14ac:dyDescent="0.3">
      <c r="A335" s="1">
        <v>43310</v>
      </c>
      <c r="B335" t="s">
        <v>9</v>
      </c>
      <c r="C335" t="s">
        <v>13</v>
      </c>
      <c r="D335">
        <v>13</v>
      </c>
      <c r="E335">
        <v>16</v>
      </c>
      <c r="F335" s="2">
        <v>7.0000000000000007E-2</v>
      </c>
    </row>
    <row r="336" spans="1:6" x14ac:dyDescent="0.3">
      <c r="A336" s="1">
        <v>43310</v>
      </c>
      <c r="B336" t="s">
        <v>6</v>
      </c>
      <c r="C336" t="s">
        <v>14</v>
      </c>
      <c r="D336">
        <v>19</v>
      </c>
      <c r="E336">
        <v>230</v>
      </c>
      <c r="F336" s="2">
        <v>0.06</v>
      </c>
    </row>
    <row r="337" spans="1:6" x14ac:dyDescent="0.3">
      <c r="A337" s="1">
        <v>43310</v>
      </c>
      <c r="B337" t="s">
        <v>10</v>
      </c>
      <c r="C337" t="s">
        <v>14</v>
      </c>
      <c r="D337">
        <v>21</v>
      </c>
      <c r="E337">
        <v>80</v>
      </c>
      <c r="F337" s="2">
        <v>0.05</v>
      </c>
    </row>
    <row r="338" spans="1:6" x14ac:dyDescent="0.3">
      <c r="A338" s="1">
        <v>43310</v>
      </c>
      <c r="B338" t="s">
        <v>10</v>
      </c>
      <c r="C338" t="s">
        <v>12</v>
      </c>
      <c r="D338">
        <v>5</v>
      </c>
      <c r="E338">
        <v>80</v>
      </c>
      <c r="F338" s="2">
        <v>7.0000000000000007E-2</v>
      </c>
    </row>
    <row r="339" spans="1:6" x14ac:dyDescent="0.3">
      <c r="A339" s="1">
        <v>43310</v>
      </c>
      <c r="B339" t="s">
        <v>9</v>
      </c>
      <c r="C339" t="s">
        <v>15</v>
      </c>
      <c r="D339">
        <v>8</v>
      </c>
      <c r="E339">
        <v>16</v>
      </c>
      <c r="F339" s="2">
        <v>0.03</v>
      </c>
    </row>
    <row r="340" spans="1:6" x14ac:dyDescent="0.3">
      <c r="A340" s="1">
        <v>43310</v>
      </c>
      <c r="B340" t="s">
        <v>9</v>
      </c>
      <c r="C340" t="s">
        <v>15</v>
      </c>
      <c r="D340">
        <v>12</v>
      </c>
      <c r="E340">
        <v>16</v>
      </c>
      <c r="F340" s="2">
        <v>0.11</v>
      </c>
    </row>
    <row r="341" spans="1:6" x14ac:dyDescent="0.3">
      <c r="A341" s="1">
        <v>43310</v>
      </c>
      <c r="B341" t="s">
        <v>10</v>
      </c>
      <c r="C341" t="s">
        <v>14</v>
      </c>
      <c r="D341">
        <v>22</v>
      </c>
      <c r="E341">
        <v>80</v>
      </c>
      <c r="F341" s="2">
        <v>0.03</v>
      </c>
    </row>
    <row r="342" spans="1:6" x14ac:dyDescent="0.3">
      <c r="A342" s="1">
        <v>43310</v>
      </c>
      <c r="B342" t="s">
        <v>8</v>
      </c>
      <c r="C342" t="s">
        <v>11</v>
      </c>
      <c r="D342">
        <v>5</v>
      </c>
      <c r="E342">
        <v>40</v>
      </c>
      <c r="F342" s="2">
        <v>0.09</v>
      </c>
    </row>
    <row r="343" spans="1:6" x14ac:dyDescent="0.3">
      <c r="A343" s="1">
        <v>43311</v>
      </c>
      <c r="B343" t="s">
        <v>7</v>
      </c>
      <c r="C343" t="s">
        <v>12</v>
      </c>
      <c r="D343">
        <v>23</v>
      </c>
      <c r="E343">
        <v>150</v>
      </c>
      <c r="F343" s="2">
        <v>0.11</v>
      </c>
    </row>
    <row r="344" spans="1:6" x14ac:dyDescent="0.3">
      <c r="A344" s="1">
        <v>43311</v>
      </c>
      <c r="B344" t="s">
        <v>10</v>
      </c>
      <c r="C344" t="s">
        <v>11</v>
      </c>
      <c r="D344">
        <v>16</v>
      </c>
      <c r="E344">
        <v>80</v>
      </c>
      <c r="F344" s="2">
        <v>0.03</v>
      </c>
    </row>
    <row r="345" spans="1:6" x14ac:dyDescent="0.3">
      <c r="A345" s="1">
        <v>43311</v>
      </c>
      <c r="B345" t="s">
        <v>7</v>
      </c>
      <c r="C345" t="s">
        <v>13</v>
      </c>
      <c r="D345">
        <v>15</v>
      </c>
      <c r="E345">
        <v>150</v>
      </c>
      <c r="F345" s="2">
        <v>7.0000000000000007E-2</v>
      </c>
    </row>
    <row r="346" spans="1:6" x14ac:dyDescent="0.3">
      <c r="A346" s="1">
        <v>43311</v>
      </c>
      <c r="B346" t="s">
        <v>8</v>
      </c>
      <c r="C346" t="s">
        <v>11</v>
      </c>
      <c r="D346">
        <v>20</v>
      </c>
      <c r="E346">
        <v>40</v>
      </c>
      <c r="F346" s="2">
        <v>0.04</v>
      </c>
    </row>
    <row r="347" spans="1:6" x14ac:dyDescent="0.3">
      <c r="A347" s="1">
        <v>43311</v>
      </c>
      <c r="B347" t="s">
        <v>6</v>
      </c>
      <c r="C347" t="s">
        <v>15</v>
      </c>
      <c r="D347">
        <v>10</v>
      </c>
      <c r="E347">
        <v>230</v>
      </c>
      <c r="F347" s="2">
        <v>0.02</v>
      </c>
    </row>
    <row r="348" spans="1:6" x14ac:dyDescent="0.3">
      <c r="A348" s="1">
        <v>43311</v>
      </c>
      <c r="B348" t="s">
        <v>10</v>
      </c>
      <c r="C348" t="s">
        <v>12</v>
      </c>
      <c r="D348">
        <v>9</v>
      </c>
      <c r="E348">
        <v>80</v>
      </c>
      <c r="F348" s="2">
        <v>0.03</v>
      </c>
    </row>
    <row r="349" spans="1:6" x14ac:dyDescent="0.3">
      <c r="A349" s="1">
        <v>43311</v>
      </c>
      <c r="B349" t="s">
        <v>6</v>
      </c>
      <c r="C349" t="s">
        <v>11</v>
      </c>
      <c r="D349">
        <v>16</v>
      </c>
      <c r="E349">
        <v>230</v>
      </c>
      <c r="F349" s="2">
        <v>7.0000000000000007E-2</v>
      </c>
    </row>
    <row r="350" spans="1:6" x14ac:dyDescent="0.3">
      <c r="A350" s="1">
        <v>43311</v>
      </c>
      <c r="B350" t="s">
        <v>10</v>
      </c>
      <c r="C350" t="s">
        <v>12</v>
      </c>
      <c r="D350">
        <v>21</v>
      </c>
      <c r="E350">
        <v>80</v>
      </c>
      <c r="F350" s="2">
        <v>0.04</v>
      </c>
    </row>
    <row r="351" spans="1:6" x14ac:dyDescent="0.3">
      <c r="A351" s="1">
        <v>43311</v>
      </c>
      <c r="B351" t="s">
        <v>10</v>
      </c>
      <c r="C351" t="s">
        <v>12</v>
      </c>
      <c r="D351">
        <v>9</v>
      </c>
      <c r="E351">
        <v>80</v>
      </c>
      <c r="F351" s="2">
        <v>0.03</v>
      </c>
    </row>
    <row r="352" spans="1:6" x14ac:dyDescent="0.3">
      <c r="A352" s="1">
        <v>43311</v>
      </c>
      <c r="B352" t="s">
        <v>8</v>
      </c>
      <c r="C352" t="s">
        <v>12</v>
      </c>
      <c r="D352">
        <v>4</v>
      </c>
      <c r="E352">
        <v>40</v>
      </c>
      <c r="F352" s="2">
        <v>0.12</v>
      </c>
    </row>
    <row r="353" spans="1:6" x14ac:dyDescent="0.3">
      <c r="A353" s="1">
        <v>43311</v>
      </c>
      <c r="B353" t="s">
        <v>6</v>
      </c>
      <c r="C353" t="s">
        <v>15</v>
      </c>
      <c r="D353">
        <v>5</v>
      </c>
      <c r="E353">
        <v>230</v>
      </c>
      <c r="F353" s="2">
        <v>0.01</v>
      </c>
    </row>
    <row r="354" spans="1:6" x14ac:dyDescent="0.3">
      <c r="A354" s="1">
        <v>43311</v>
      </c>
      <c r="B354" t="s">
        <v>9</v>
      </c>
      <c r="C354" t="s">
        <v>11</v>
      </c>
      <c r="D354">
        <v>18</v>
      </c>
      <c r="E354">
        <v>16</v>
      </c>
      <c r="F354" s="2">
        <v>0.05</v>
      </c>
    </row>
    <row r="355" spans="1:6" x14ac:dyDescent="0.3">
      <c r="A355" s="1">
        <v>43312</v>
      </c>
      <c r="B355" t="s">
        <v>10</v>
      </c>
      <c r="C355" t="s">
        <v>15</v>
      </c>
      <c r="D355">
        <v>6</v>
      </c>
      <c r="E355">
        <v>80</v>
      </c>
      <c r="F355" s="2">
        <v>0.01</v>
      </c>
    </row>
    <row r="356" spans="1:6" x14ac:dyDescent="0.3">
      <c r="A356" s="1">
        <v>43312</v>
      </c>
      <c r="B356" t="s">
        <v>7</v>
      </c>
      <c r="C356" t="s">
        <v>13</v>
      </c>
      <c r="D356">
        <v>4</v>
      </c>
      <c r="E356">
        <v>150</v>
      </c>
      <c r="F356" s="2">
        <v>0.05</v>
      </c>
    </row>
    <row r="357" spans="1:6" x14ac:dyDescent="0.3">
      <c r="A357" s="1">
        <v>43312</v>
      </c>
      <c r="B357" t="s">
        <v>6</v>
      </c>
      <c r="C357" t="s">
        <v>13</v>
      </c>
      <c r="D357">
        <v>21</v>
      </c>
      <c r="E357">
        <v>230</v>
      </c>
      <c r="F357" s="2">
        <v>0.05</v>
      </c>
    </row>
    <row r="358" spans="1:6" x14ac:dyDescent="0.3">
      <c r="A358" s="1">
        <v>43312</v>
      </c>
      <c r="B358" t="s">
        <v>7</v>
      </c>
      <c r="C358" t="s">
        <v>11</v>
      </c>
      <c r="D358">
        <v>4</v>
      </c>
      <c r="E358">
        <v>150</v>
      </c>
      <c r="F358" s="2">
        <v>0.06</v>
      </c>
    </row>
    <row r="359" spans="1:6" x14ac:dyDescent="0.3">
      <c r="A359" s="1">
        <v>43312</v>
      </c>
      <c r="B359" t="s">
        <v>10</v>
      </c>
      <c r="C359" t="s">
        <v>12</v>
      </c>
      <c r="D359">
        <v>2</v>
      </c>
      <c r="E359">
        <v>80</v>
      </c>
      <c r="F359" s="2">
        <v>0.04</v>
      </c>
    </row>
    <row r="360" spans="1:6" x14ac:dyDescent="0.3">
      <c r="A360" s="1">
        <v>43312</v>
      </c>
      <c r="B360" t="s">
        <v>9</v>
      </c>
      <c r="C360" t="s">
        <v>12</v>
      </c>
      <c r="D360">
        <v>5</v>
      </c>
      <c r="E360">
        <v>16</v>
      </c>
      <c r="F360" s="2">
        <v>0.11</v>
      </c>
    </row>
    <row r="361" spans="1:6" x14ac:dyDescent="0.3">
      <c r="A361" s="1">
        <v>43312</v>
      </c>
      <c r="B361" t="s">
        <v>7</v>
      </c>
      <c r="C361" t="s">
        <v>13</v>
      </c>
      <c r="D361">
        <v>23</v>
      </c>
      <c r="E361">
        <v>150</v>
      </c>
      <c r="F361" s="2">
        <v>0.08</v>
      </c>
    </row>
    <row r="362" spans="1:6" x14ac:dyDescent="0.3">
      <c r="A362" s="1">
        <v>43312</v>
      </c>
      <c r="B362" t="s">
        <v>10</v>
      </c>
      <c r="C362" t="s">
        <v>12</v>
      </c>
      <c r="D362">
        <v>3</v>
      </c>
      <c r="E362">
        <v>80</v>
      </c>
      <c r="F362" s="2">
        <v>0.02</v>
      </c>
    </row>
    <row r="363" spans="1:6" x14ac:dyDescent="0.3">
      <c r="A363" s="1">
        <v>43312</v>
      </c>
      <c r="B363" t="s">
        <v>6</v>
      </c>
      <c r="C363" t="s">
        <v>13</v>
      </c>
      <c r="D363">
        <v>17</v>
      </c>
      <c r="E363">
        <v>230</v>
      </c>
      <c r="F363" s="2">
        <v>0.11</v>
      </c>
    </row>
    <row r="364" spans="1:6" x14ac:dyDescent="0.3">
      <c r="A364" s="1">
        <v>43312</v>
      </c>
      <c r="B364" t="s">
        <v>8</v>
      </c>
      <c r="C364" t="s">
        <v>15</v>
      </c>
      <c r="D364">
        <v>11</v>
      </c>
      <c r="E364">
        <v>40</v>
      </c>
      <c r="F364" s="2">
        <v>0.05</v>
      </c>
    </row>
    <row r="365" spans="1:6" x14ac:dyDescent="0.3">
      <c r="A365" s="1">
        <v>43312</v>
      </c>
      <c r="B365" t="s">
        <v>6</v>
      </c>
      <c r="C365" t="s">
        <v>11</v>
      </c>
      <c r="D365">
        <v>7</v>
      </c>
      <c r="E365">
        <v>230</v>
      </c>
      <c r="F365" s="2">
        <v>0.02</v>
      </c>
    </row>
    <row r="366" spans="1:6" x14ac:dyDescent="0.3">
      <c r="A366" s="1">
        <v>43312</v>
      </c>
      <c r="B366" t="s">
        <v>8</v>
      </c>
      <c r="C366" t="s">
        <v>15</v>
      </c>
      <c r="D366">
        <v>13</v>
      </c>
      <c r="E366">
        <v>40</v>
      </c>
      <c r="F366" s="2">
        <v>0.02</v>
      </c>
    </row>
  </sheetData>
  <mergeCells count="1">
    <mergeCell ref="A2:F2"/>
  </mergeCell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4258A985-0767-4DFD-B1E5-00CE4033A30B}">
  <ds:schemaRefs/>
</ds:datastoreItem>
</file>

<file path=customXml/itemProps2.xml><?xml version="1.0" encoding="utf-8"?>
<ds:datastoreItem xmlns:ds="http://schemas.openxmlformats.org/officeDocument/2006/customXml" ds:itemID="{A74D2A51-A6CA-4969-94F9-0582FB51AF11}">
  <ds:schemaRefs/>
</ds:datastoreItem>
</file>

<file path=customXml/itemProps3.xml><?xml version="1.0" encoding="utf-8"?>
<ds:datastoreItem xmlns:ds="http://schemas.openxmlformats.org/officeDocument/2006/customXml" ds:itemID="{0855D6A8-B48D-402F-B984-E751C0C8D7E9}">
  <ds:schemaRefs/>
</ds:datastoreItem>
</file>

<file path=customXml/itemProps4.xml><?xml version="1.0" encoding="utf-8"?>
<ds:datastoreItem xmlns:ds="http://schemas.openxmlformats.org/officeDocument/2006/customXml" ds:itemID="{83D4CEAB-3C88-4585-8685-7F3777FEF4C9}">
  <ds:schemaRefs/>
</ds:datastoreItem>
</file>

<file path=customXml/itemProps5.xml><?xml version="1.0" encoding="utf-8"?>
<ds:datastoreItem xmlns:ds="http://schemas.openxmlformats.org/officeDocument/2006/customXml" ds:itemID="{A0DA1B63-1FE5-4F60-8DED-7D25767DC50D}">
  <ds:schemaRefs/>
</ds:datastoreItem>
</file>

<file path=customXml/itemProps6.xml><?xml version="1.0" encoding="utf-8"?>
<ds:datastoreItem xmlns:ds="http://schemas.openxmlformats.org/officeDocument/2006/customXml" ds:itemID="{C2021ABD-6BE5-4AF4-AE8D-98EC11911A75}">
  <ds:schemaRefs/>
</ds:datastoreItem>
</file>

<file path=customXml/itemProps7.xml><?xml version="1.0" encoding="utf-8"?>
<ds:datastoreItem xmlns:ds="http://schemas.openxmlformats.org/officeDocument/2006/customXml" ds:itemID="{C6E0ACD6-9245-4884-B2F0-40AF036A4DDB}">
  <ds:schemaRefs/>
</ds:datastoreItem>
</file>

<file path=customXml/itemProps8.xml><?xml version="1.0" encoding="utf-8"?>
<ds:datastoreItem xmlns:ds="http://schemas.openxmlformats.org/officeDocument/2006/customXml" ds:itemID="{0E8D3205-2950-410B-BDA1-58B4CE4B5869}">
  <ds:schemaRefs/>
</ds:datastoreItem>
</file>

<file path=customXml/itemProps9.xml><?xml version="1.0" encoding="utf-8"?>
<ds:datastoreItem xmlns:ds="http://schemas.openxmlformats.org/officeDocument/2006/customXml" ds:itemID="{1ACE10F3-99BA-411F-8414-682CC658D259}">
  <ds:schemaRefs/>
</ds:datastoreItem>
</file>

<file path=customXml/itemProps10.xml><?xml version="1.0" encoding="utf-8"?>
<ds:datastoreItem xmlns:ds="http://schemas.openxmlformats.org/officeDocument/2006/customXml" ds:itemID="{BAA033EA-92BE-45E1-98FC-B1ADFEC77BEC}">
  <ds:schemaRefs/>
</ds:datastoreItem>
</file>

<file path=customXml/itemProps11.xml><?xml version="1.0" encoding="utf-8"?>
<ds:datastoreItem xmlns:ds="http://schemas.openxmlformats.org/officeDocument/2006/customXml" ds:itemID="{4F947839-9EA4-40C4-8A10-53A3A072DB1D}">
  <ds:schemaRefs/>
</ds:datastoreItem>
</file>

<file path=customXml/itemProps12.xml><?xml version="1.0" encoding="utf-8"?>
<ds:datastoreItem xmlns:ds="http://schemas.openxmlformats.org/officeDocument/2006/customXml" ds:itemID="{67572764-923C-4DAD-B7E1-5DEE59CCB60E}">
  <ds:schemaRefs/>
</ds:datastoreItem>
</file>

<file path=customXml/itemProps13.xml><?xml version="1.0" encoding="utf-8"?>
<ds:datastoreItem xmlns:ds="http://schemas.openxmlformats.org/officeDocument/2006/customXml" ds:itemID="{0E4EA7F9-B8D2-4E1A-8A51-71A42DF9365F}">
  <ds:schemaRefs/>
</ds:datastoreItem>
</file>

<file path=customXml/itemProps14.xml><?xml version="1.0" encoding="utf-8"?>
<ds:datastoreItem xmlns:ds="http://schemas.openxmlformats.org/officeDocument/2006/customXml" ds:itemID="{C4ABCC55-2838-41D3-A69F-29E2E4924E84}">
  <ds:schemaRefs/>
</ds:datastoreItem>
</file>

<file path=customXml/itemProps15.xml><?xml version="1.0" encoding="utf-8"?>
<ds:datastoreItem xmlns:ds="http://schemas.openxmlformats.org/officeDocument/2006/customXml" ds:itemID="{48D3D34E-204A-4065-AB8B-FA4B3B9BD103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C6BC74A4-AB3A-4EFD-A50F-84C0358D0CAE}">
  <ds:schemaRefs/>
</ds:datastoreItem>
</file>

<file path=customXml/itemProps17.xml><?xml version="1.0" encoding="utf-8"?>
<ds:datastoreItem xmlns:ds="http://schemas.openxmlformats.org/officeDocument/2006/customXml" ds:itemID="{5672973C-0C01-4C9A-B855-863804D72AD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GaugeChart</vt:lpstr>
      <vt:lpstr>Dashboard</vt:lpstr>
      <vt:lpstr>PivotDashboard</vt:lpstr>
      <vt:lpstr>Dashboard_raw</vt:lpstr>
      <vt:lpstr>West</vt:lpstr>
      <vt:lpstr>East</vt:lpstr>
      <vt:lpstr>South</vt:lpstr>
      <vt:lpstr>North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2025-11-19T03:25:57Z</dcterms:created>
  <dcterms:modified xsi:type="dcterms:W3CDTF">2025-11-19T03:26:06Z</dcterms:modified>
</cp:coreProperties>
</file>